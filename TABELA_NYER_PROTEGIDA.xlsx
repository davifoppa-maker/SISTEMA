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edido 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R\$\ #,##0.00"/>
    <numFmt numFmtId="165" formatCode="[$R$ -416]#,##0.00"/>
  </numFmts>
  <fonts count="19">
    <font>
      <name val="Calibri"/>
      <color theme="1"/>
      <sz val="11"/>
      <scheme val="minor"/>
    </font>
    <font>
      <name val="Calibri"/>
      <b val="1"/>
      <color rgb="FFFFFFFF"/>
      <sz val="14"/>
    </font>
    <font/>
    <font>
      <name val="Calibri"/>
      <b val="1"/>
      <color theme="1"/>
      <sz val="10"/>
    </font>
    <font>
      <name val="Calibri"/>
      <b val="1"/>
      <color rgb="FFFFFFFF"/>
      <sz val="15"/>
    </font>
    <font>
      <name val="Calibri"/>
      <b val="1"/>
      <color theme="1"/>
      <sz val="15"/>
    </font>
    <font>
      <name val="Calibri"/>
      <color theme="1"/>
      <scheme val="minor"/>
    </font>
    <font>
      <name val="Calibri"/>
      <b val="1"/>
      <color theme="1"/>
      <sz val="17"/>
    </font>
    <font>
      <name val="Calibri"/>
      <b val="1"/>
      <color rgb="FF0066CC"/>
      <sz val="17"/>
    </font>
    <font>
      <name val="Calibri"/>
      <color theme="1"/>
      <sz val="15"/>
      <scheme val="minor"/>
    </font>
    <font>
      <name val="Calibri"/>
      <b val="1"/>
      <color rgb="FF006400"/>
      <sz val="15"/>
    </font>
    <font>
      <name val="Calibri"/>
      <b val="1"/>
      <color rgb="FF666666"/>
      <sz val="15"/>
    </font>
    <font>
      <name val="Calibri"/>
      <b val="1"/>
      <color rgb="FFFFFFFF"/>
      <sz val="20"/>
    </font>
    <font>
      <name val="Calibri"/>
      <b val="1"/>
      <color rgb="FFFFFFFF"/>
      <sz val="12"/>
    </font>
    <font>
      <name val="Calibri"/>
      <color theme="1"/>
      <sz val="12"/>
    </font>
    <font>
      <name val="Calibri"/>
      <color theme="1"/>
      <sz val="12"/>
      <scheme val="minor"/>
    </font>
    <font>
      <name val="Calibri"/>
      <b val="1"/>
      <color theme="1"/>
      <sz val="12"/>
    </font>
    <font>
      <name val="Calibri"/>
      <b val="1"/>
      <color rgb="FF006400"/>
      <sz val="12"/>
    </font>
    <font>
      <name val="Calibri"/>
      <b val="1"/>
      <color rgb="FFFF0000"/>
      <sz val="12"/>
    </font>
  </fonts>
  <fills count="14">
    <fill>
      <patternFill/>
    </fill>
    <fill>
      <patternFill patternType="lightGray"/>
    </fill>
    <fill>
      <patternFill patternType="solid">
        <fgColor rgb="FF9933FF"/>
        <bgColor rgb="FF9933FF"/>
      </patternFill>
    </fill>
    <fill>
      <patternFill patternType="solid">
        <fgColor rgb="FFE6D9FF"/>
        <bgColor rgb="FFE6D9FF"/>
      </patternFill>
    </fill>
    <fill>
      <patternFill patternType="solid">
        <fgColor rgb="FFFF3333"/>
        <bgColor rgb="FFFF3333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0066CC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4" fillId="2" borderId="4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164" fontId="5" fillId="0" borderId="4" applyAlignment="1" pivotButton="0" quotePrefix="0" xfId="0">
      <alignment horizontal="center"/>
    </xf>
    <xf numFmtId="164" fontId="4" fillId="2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10" fontId="8" fillId="0" borderId="4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4" fillId="5" borderId="4" applyAlignment="1" pivotButton="0" quotePrefix="0" xfId="0">
      <alignment horizontal="center"/>
    </xf>
    <xf numFmtId="1" fontId="4" fillId="5" borderId="4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164" fontId="11" fillId="0" borderId="4" applyAlignment="1" pivotButton="0" quotePrefix="0" xfId="0">
      <alignment horizontal="center"/>
    </xf>
    <xf numFmtId="0" fontId="12" fillId="6" borderId="4" applyAlignment="1" pivotButton="0" quotePrefix="0" xfId="0">
      <alignment horizontal="center"/>
    </xf>
    <xf numFmtId="164" fontId="12" fillId="6" borderId="4" applyAlignment="1" pivotButton="0" quotePrefix="0" xfId="0">
      <alignment horizontal="center"/>
    </xf>
    <xf numFmtId="0" fontId="13" fillId="2" borderId="7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left" vertical="center" wrapText="1"/>
    </xf>
    <xf numFmtId="0" fontId="14" fillId="0" borderId="7" applyAlignment="1" pivotButton="0" quotePrefix="0" xfId="0">
      <alignment horizontal="left" vertical="center" wrapText="1"/>
    </xf>
    <xf numFmtId="1" fontId="14" fillId="7" borderId="7" applyAlignment="1" pivotButton="0" quotePrefix="0" xfId="0">
      <alignment horizontal="center" vertical="center"/>
    </xf>
    <xf numFmtId="164" fontId="14" fillId="0" borderId="7" applyAlignment="1" pivotButton="0" quotePrefix="0" xfId="0">
      <alignment horizontal="right" vertical="center"/>
    </xf>
    <xf numFmtId="1" fontId="14" fillId="0" borderId="7" applyAlignment="1" pivotButton="0" quotePrefix="0" xfId="0">
      <alignment horizontal="center" vertical="center"/>
    </xf>
    <xf numFmtId="164" fontId="14" fillId="8" borderId="7" applyAlignment="1" pivotButton="0" quotePrefix="0" xfId="0">
      <alignment horizontal="right" vertical="center"/>
    </xf>
    <xf numFmtId="165" fontId="15" fillId="0" borderId="7" pivotButton="0" quotePrefix="0" xfId="0"/>
    <xf numFmtId="0" fontId="14" fillId="5" borderId="7" applyAlignment="1" pivotButton="0" quotePrefix="0" xfId="0">
      <alignment horizontal="left" vertical="center" wrapText="1"/>
    </xf>
    <xf numFmtId="0" fontId="14" fillId="5" borderId="7" applyAlignment="1" pivotButton="0" quotePrefix="0" xfId="0">
      <alignment horizontal="left" vertical="center" wrapText="1"/>
    </xf>
    <xf numFmtId="164" fontId="14" fillId="5" borderId="7" applyAlignment="1" pivotButton="0" quotePrefix="0" xfId="0">
      <alignment horizontal="right" vertical="center"/>
    </xf>
    <xf numFmtId="1" fontId="14" fillId="5" borderId="7" applyAlignment="1" pivotButton="0" quotePrefix="0" xfId="0">
      <alignment horizontal="center" vertical="center"/>
    </xf>
    <xf numFmtId="165" fontId="15" fillId="5" borderId="7" pivotButton="0" quotePrefix="0" xfId="0"/>
    <xf numFmtId="0" fontId="6" fillId="8" borderId="0" pivotButton="0" quotePrefix="0" xfId="0"/>
    <xf numFmtId="0" fontId="15" fillId="0" borderId="0" pivotButton="0" quotePrefix="0" xfId="0"/>
    <xf numFmtId="0" fontId="13" fillId="9" borderId="1" applyAlignment="1" pivotButton="0" quotePrefix="0" xfId="0">
      <alignment horizontal="center"/>
    </xf>
    <xf numFmtId="0" fontId="14" fillId="0" borderId="0" applyAlignment="1" pivotButton="0" quotePrefix="0" xfId="0">
      <alignment vertical="bottom"/>
    </xf>
    <xf numFmtId="0" fontId="13" fillId="9" borderId="7" applyAlignment="1" pivotButton="0" quotePrefix="0" xfId="0">
      <alignment horizontal="center" wrapText="1"/>
    </xf>
    <xf numFmtId="0" fontId="13" fillId="9" borderId="4" applyAlignment="1" pivotButton="0" quotePrefix="0" xfId="0">
      <alignment horizontal="center" wrapText="1"/>
    </xf>
    <xf numFmtId="0" fontId="16" fillId="10" borderId="7" applyAlignment="1" pivotButton="0" quotePrefix="0" xfId="0">
      <alignment horizontal="center" vertical="center" wrapText="1"/>
    </xf>
    <xf numFmtId="0" fontId="17" fillId="10" borderId="7" applyAlignment="1" pivotButton="0" quotePrefix="0" xfId="0">
      <alignment horizontal="center" vertical="center"/>
    </xf>
    <xf numFmtId="0" fontId="16" fillId="10" borderId="7" applyAlignment="1" pivotButton="0" quotePrefix="0" xfId="0">
      <alignment horizontal="center" vertical="center"/>
    </xf>
    <xf numFmtId="0" fontId="14" fillId="10" borderId="7" applyAlignment="1" pivotButton="0" quotePrefix="0" xfId="0">
      <alignment horizontal="center" vertical="center"/>
    </xf>
    <xf numFmtId="0" fontId="14" fillId="10" borderId="4" applyAlignment="1" pivotButton="0" quotePrefix="0" xfId="0">
      <alignment horizontal="center" vertical="center" wrapText="1"/>
    </xf>
    <xf numFmtId="0" fontId="16" fillId="11" borderId="7" applyAlignment="1" pivotButton="0" quotePrefix="0" xfId="0">
      <alignment horizontal="center" vertical="center" wrapText="1"/>
    </xf>
    <xf numFmtId="0" fontId="17" fillId="11" borderId="7" applyAlignment="1" pivotButton="0" quotePrefix="0" xfId="0">
      <alignment horizontal="center" vertical="center"/>
    </xf>
    <xf numFmtId="0" fontId="16" fillId="11" borderId="7" applyAlignment="1" pivotButton="0" quotePrefix="0" xfId="0">
      <alignment horizontal="center" vertical="center"/>
    </xf>
    <xf numFmtId="0" fontId="14" fillId="11" borderId="7" applyAlignment="1" pivotButton="0" quotePrefix="0" xfId="0">
      <alignment horizontal="center" vertical="center"/>
    </xf>
    <xf numFmtId="0" fontId="14" fillId="11" borderId="4" applyAlignment="1" pivotButton="0" quotePrefix="0" xfId="0">
      <alignment horizontal="center" vertical="center" wrapText="1"/>
    </xf>
    <xf numFmtId="0" fontId="16" fillId="12" borderId="7" applyAlignment="1" pivotButton="0" quotePrefix="0" xfId="0">
      <alignment horizontal="center" vertical="center" wrapText="1"/>
    </xf>
    <xf numFmtId="0" fontId="17" fillId="12" borderId="7" applyAlignment="1" pivotButton="0" quotePrefix="0" xfId="0">
      <alignment horizontal="center" vertical="center"/>
    </xf>
    <xf numFmtId="0" fontId="16" fillId="12" borderId="7" applyAlignment="1" pivotButton="0" quotePrefix="0" xfId="0">
      <alignment horizontal="center" vertical="center"/>
    </xf>
    <xf numFmtId="0" fontId="14" fillId="12" borderId="7" applyAlignment="1" pivotButton="0" quotePrefix="0" xfId="0">
      <alignment horizontal="center" vertical="center"/>
    </xf>
    <xf numFmtId="0" fontId="14" fillId="12" borderId="4" applyAlignment="1" pivotButton="0" quotePrefix="0" xfId="0">
      <alignment horizontal="center" vertical="center" wrapText="1"/>
    </xf>
    <xf numFmtId="0" fontId="16" fillId="13" borderId="7" applyAlignment="1" pivotButton="0" quotePrefix="0" xfId="0">
      <alignment horizontal="center" vertical="center" wrapText="1"/>
    </xf>
    <xf numFmtId="0" fontId="17" fillId="13" borderId="7" applyAlignment="1" pivotButton="0" quotePrefix="0" xfId="0">
      <alignment horizontal="center" vertical="center"/>
    </xf>
    <xf numFmtId="0" fontId="16" fillId="13" borderId="7" applyAlignment="1" pivotButton="0" quotePrefix="0" xfId="0">
      <alignment horizontal="center" vertical="center"/>
    </xf>
    <xf numFmtId="0" fontId="14" fillId="13" borderId="7" applyAlignment="1" pivotButton="0" quotePrefix="0" xfId="0">
      <alignment horizontal="center" vertical="center"/>
    </xf>
    <xf numFmtId="0" fontId="14" fillId="13" borderId="4" applyAlignment="1" pivotButton="0" quotePrefix="0" xfId="0">
      <alignment horizontal="center" vertical="center" wrapText="1"/>
    </xf>
    <xf numFmtId="0" fontId="18" fillId="0" borderId="4" applyAlignment="1" pivotButton="0" quotePrefix="0" xfId="0">
      <alignment vertical="bottom"/>
    </xf>
    <xf numFmtId="0" fontId="14" fillId="0" borderId="4" applyAlignment="1" pivotButton="0" quotePrefix="0" xfId="0">
      <alignment vertical="bottom"/>
    </xf>
    <xf numFmtId="0" fontId="13" fillId="9" borderId="4" applyAlignment="1" pivotButton="0" quotePrefix="0" xfId="0">
      <alignment horizontal="center"/>
    </xf>
    <xf numFmtId="0" fontId="6" fillId="10" borderId="4" applyAlignment="1" pivotButton="0" quotePrefix="0" xfId="0">
      <alignment horizontal="center"/>
    </xf>
    <xf numFmtId="0" fontId="6" fillId="11" borderId="4" applyAlignment="1" pivotButton="0" quotePrefix="0" xfId="0">
      <alignment horizontal="center"/>
    </xf>
    <xf numFmtId="0" fontId="6" fillId="12" borderId="4" applyAlignment="1" pivotButton="0" quotePrefix="0" xfId="0">
      <alignment horizontal="center"/>
    </xf>
    <xf numFmtId="0" fontId="6" fillId="13" borderId="4" applyAlignment="1" pivotButton="0" quotePrefix="0" xfId="0">
      <alignment horizontal="center"/>
    </xf>
    <xf numFmtId="0" fontId="6" fillId="8" borderId="4" applyAlignment="1" pivotButton="0" quotePrefix="0" xfId="0">
      <alignment horizontal="center"/>
    </xf>
    <xf numFmtId="0" fontId="0" fillId="0" borderId="0" pivotButton="0" quotePrefix="0" xfId="0"/>
    <xf numFmtId="0" fontId="1" fillId="2" borderId="10" applyAlignment="1" pivotButton="0" quotePrefix="0" xfId="0">
      <alignment horizontal="center" vertical="center"/>
    </xf>
    <xf numFmtId="0" fontId="3" fillId="3" borderId="7" applyProtection="1" pivotButton="0" quotePrefix="0" xfId="0">
      <protection locked="0" hidden="0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164" fontId="5" fillId="0" borderId="7" applyAlignment="1" pivotButton="0" quotePrefix="0" xfId="0">
      <alignment horizontal="center"/>
    </xf>
    <xf numFmtId="164" fontId="4" fillId="2" borderId="7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10" fontId="8" fillId="0" borderId="7" applyAlignment="1" pivotButton="0" quotePrefix="0" xfId="0">
      <alignment horizontal="center"/>
    </xf>
    <xf numFmtId="0" fontId="4" fillId="4" borderId="7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1" fontId="4" fillId="5" borderId="7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164" fontId="11" fillId="0" borderId="7" applyAlignment="1" pivotButton="0" quotePrefix="0" xfId="0">
      <alignment horizontal="center"/>
    </xf>
    <xf numFmtId="0" fontId="12" fillId="6" borderId="7" applyAlignment="1" pivotButton="0" quotePrefix="0" xfId="0">
      <alignment horizontal="center"/>
    </xf>
    <xf numFmtId="164" fontId="12" fillId="6" borderId="7" applyAlignment="1" pivotButton="0" quotePrefix="0" xfId="0">
      <alignment horizontal="center"/>
    </xf>
    <xf numFmtId="1" fontId="14" fillId="7" borderId="7" applyAlignment="1" applyProtection="1" pivotButton="0" quotePrefix="0" xfId="0">
      <alignment horizontal="center" vertical="center"/>
      <protection locked="0" hidden="0"/>
    </xf>
    <xf numFmtId="0" fontId="13" fillId="9" borderId="10" applyAlignment="1" pivotButton="0" quotePrefix="0" xfId="0">
      <alignment horizontal="center"/>
    </xf>
    <xf numFmtId="0" fontId="14" fillId="10" borderId="7" applyAlignment="1" pivotButton="0" quotePrefix="0" xfId="0">
      <alignment horizontal="center" vertical="center" wrapText="1"/>
    </xf>
    <xf numFmtId="0" fontId="14" fillId="11" borderId="7" applyAlignment="1" pivotButton="0" quotePrefix="0" xfId="0">
      <alignment horizontal="center" vertical="center" wrapText="1"/>
    </xf>
    <xf numFmtId="0" fontId="14" fillId="12" borderId="7" applyAlignment="1" pivotButton="0" quotePrefix="0" xfId="0">
      <alignment horizontal="center" vertical="center" wrapText="1"/>
    </xf>
    <xf numFmtId="0" fontId="14" fillId="13" borderId="7" applyAlignment="1" pivotButton="0" quotePrefix="0" xfId="0">
      <alignment horizontal="center" vertical="center" wrapText="1"/>
    </xf>
    <xf numFmtId="0" fontId="18" fillId="0" borderId="7" applyAlignment="1" pivotButton="0" quotePrefix="0" xfId="0">
      <alignment vertical="bottom"/>
    </xf>
    <xf numFmtId="0" fontId="14" fillId="0" borderId="7" applyAlignment="1" pivotButton="0" quotePrefix="0" xfId="0">
      <alignment vertical="bottom"/>
    </xf>
    <xf numFmtId="0" fontId="13" fillId="9" borderId="7" applyAlignment="1" pivotButton="0" quotePrefix="0" xfId="0">
      <alignment horizontal="center"/>
    </xf>
    <xf numFmtId="0" fontId="6" fillId="10" borderId="7" applyAlignment="1" pivotButton="0" quotePrefix="0" xfId="0">
      <alignment horizontal="center"/>
    </xf>
    <xf numFmtId="0" fontId="6" fillId="11" borderId="7" applyAlignment="1" pivotButton="0" quotePrefix="0" xfId="0">
      <alignment horizontal="center"/>
    </xf>
    <xf numFmtId="0" fontId="6" fillId="12" borderId="7" applyAlignment="1" pivotButton="0" quotePrefix="0" xfId="0">
      <alignment horizontal="center"/>
    </xf>
    <xf numFmtId="0" fontId="6" fillId="13" borderId="7" applyAlignment="1" pivotButton="0" quotePrefix="0" xfId="0">
      <alignment horizontal="center"/>
    </xf>
    <xf numFmtId="0" fontId="6" fillId="8" borderId="7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71" min="1" max="1"/>
    <col width="13.29" customWidth="1" style="71" min="2" max="2"/>
    <col width="40" customWidth="1" style="71" min="3" max="3"/>
    <col width="15.43" customWidth="1" style="71" min="4" max="4"/>
    <col width="21" customWidth="1" style="71" min="5" max="5"/>
    <col width="16.86" customWidth="1" style="71" min="6" max="6"/>
    <col width="16.71" customWidth="1" style="71" min="7" max="7"/>
    <col width="8" customWidth="1" style="71" min="8" max="8"/>
    <col width="12" customWidth="1" style="71" min="9" max="9"/>
    <col width="16.71" customWidth="1" style="71" min="10" max="10"/>
    <col width="13.14" customWidth="1" style="71" min="11" max="11"/>
    <col width="8.710000000000001" customWidth="1" style="71" min="12" max="26"/>
  </cols>
  <sheetData>
    <row r="1" ht="24.75" customHeight="1" s="71">
      <c r="A1" s="72" t="inlineStr">
        <is>
          <t>NYER NUTRITION ® - SISTEMA DE DESCONTO AUTOMATICO</t>
        </is>
      </c>
    </row>
    <row r="2" ht="14.25" customHeight="1" s="71">
      <c r="A2" s="73" t="inlineStr">
        <is>
          <t>NOME FANTASIA:</t>
        </is>
      </c>
      <c r="B2" s="74" t="n"/>
      <c r="C2" s="75" t="n"/>
      <c r="D2" s="73" t="inlineStr">
        <is>
          <t>CNPJ:</t>
        </is>
      </c>
      <c r="E2" s="74" t="n"/>
      <c r="F2" s="74" t="n"/>
      <c r="G2" s="74" t="n"/>
      <c r="H2" s="74" t="n"/>
      <c r="I2" s="74" t="n"/>
      <c r="J2" s="74" t="n"/>
      <c r="K2" s="75" t="n"/>
    </row>
    <row r="3" ht="14.25" customHeight="1" s="71">
      <c r="A3" s="73" t="inlineStr">
        <is>
          <t>ENDERECO:</t>
        </is>
      </c>
      <c r="B3" s="74" t="n"/>
      <c r="C3" s="75" t="n"/>
      <c r="D3" s="73" t="inlineStr">
        <is>
          <t>CIDADE:</t>
        </is>
      </c>
      <c r="E3" s="74" t="n"/>
      <c r="F3" s="74" t="n"/>
      <c r="G3" s="74" t="n"/>
      <c r="H3" s="74" t="n"/>
      <c r="I3" s="74" t="n"/>
      <c r="J3" s="74" t="n"/>
      <c r="K3" s="75" t="n"/>
    </row>
    <row r="4" ht="14.25" customHeight="1" s="71">
      <c r="A4" s="73" t="inlineStr">
        <is>
          <t>E-MAIL:</t>
        </is>
      </c>
      <c r="B4" s="74" t="n"/>
      <c r="C4" s="75" t="n"/>
      <c r="D4" s="73" t="inlineStr">
        <is>
          <t>TELEFONE:</t>
        </is>
      </c>
      <c r="E4" s="74" t="n"/>
      <c r="F4" s="74" t="n"/>
      <c r="G4" s="74" t="n"/>
      <c r="H4" s="74" t="n"/>
      <c r="I4" s="74" t="n"/>
      <c r="J4" s="74" t="n"/>
      <c r="K4" s="75" t="n"/>
    </row>
    <row r="5" ht="14.25" customHeight="1" s="71">
      <c r="A5" s="73" t="inlineStr">
        <is>
          <t>FORMA DE PAGAMENTO:</t>
        </is>
      </c>
      <c r="B5" s="74" t="n"/>
      <c r="C5" s="75" t="n"/>
      <c r="D5" s="73" t="inlineStr">
        <is>
          <t>VENDEDOR:</t>
        </is>
      </c>
      <c r="E5" s="74" t="n"/>
      <c r="F5" s="74" t="n"/>
      <c r="G5" s="74" t="n"/>
      <c r="H5" s="74" t="n"/>
      <c r="I5" s="74" t="n"/>
      <c r="J5" s="74" t="n"/>
      <c r="K5" s="75" t="n"/>
    </row>
    <row r="6" ht="14.25" customHeight="1" s="71">
      <c r="A6" s="76" t="inlineStr">
        <is>
          <t>RESUMO DO PEDIDO</t>
        </is>
      </c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5" t="n"/>
    </row>
    <row r="7" ht="14.25" customHeight="1" s="71">
      <c r="A7" s="77" t="inlineStr">
        <is>
          <t>Faturamento Proteico (R$)</t>
        </is>
      </c>
      <c r="B7" s="74" t="n"/>
      <c r="C7" s="74" t="n"/>
      <c r="D7" s="74" t="n"/>
      <c r="E7" s="74" t="n"/>
      <c r="F7" s="75" t="n"/>
      <c r="G7" s="78">
        <f>SUMPRODUCT((E22:E60="Proteico")*(F22:F60)*(G22:G60))</f>
        <v/>
      </c>
      <c r="H7" s="74" t="n"/>
      <c r="I7" s="74" t="n"/>
      <c r="J7" s="74" t="n"/>
      <c r="K7" s="75" t="n"/>
    </row>
    <row r="8" ht="14.25" customHeight="1" s="71">
      <c r="A8" s="77" t="inlineStr">
        <is>
          <t>Faturamento Nao Proteico (R$)</t>
        </is>
      </c>
      <c r="B8" s="74" t="n"/>
      <c r="C8" s="74" t="n"/>
      <c r="D8" s="74" t="n"/>
      <c r="E8" s="74" t="n"/>
      <c r="F8" s="75" t="n"/>
      <c r="G8" s="78">
        <f>SUMPRODUCT((E22:E60="Nao Proteico")*(F22:F60)*(G22:G60))</f>
        <v/>
      </c>
      <c r="H8" s="74" t="n"/>
      <c r="I8" s="74" t="n"/>
      <c r="J8" s="74" t="n"/>
      <c r="K8" s="75" t="n"/>
    </row>
    <row r="9" ht="14.25" customHeight="1" s="71">
      <c r="A9" s="76" t="inlineStr">
        <is>
          <t>TOTAL BRUTO (R$)</t>
        </is>
      </c>
      <c r="B9" s="74" t="n"/>
      <c r="C9" s="74" t="n"/>
      <c r="D9" s="74" t="n"/>
      <c r="E9" s="74" t="n"/>
      <c r="F9" s="75" t="n"/>
      <c r="G9" s="79">
        <f>G7+G8</f>
        <v/>
      </c>
      <c r="H9" s="74" t="n"/>
      <c r="I9" s="74" t="n"/>
      <c r="J9" s="74" t="n"/>
      <c r="K9" s="75" t="n"/>
    </row>
    <row r="10" ht="14.25" customHeight="1" s="7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</row>
    <row r="11" ht="14.25" customHeight="1" s="71">
      <c r="A11" s="80" t="inlineStr">
        <is>
          <t>% Mix Nao Proteico (por Faturamento)</t>
        </is>
      </c>
      <c r="B11" s="74" t="n"/>
      <c r="C11" s="74" t="n"/>
      <c r="D11" s="74" t="n"/>
      <c r="E11" s="74" t="n"/>
      <c r="F11" s="75" t="n"/>
      <c r="G11" s="81">
        <f>IF(G9=0,0,G8/G9)</f>
        <v/>
      </c>
      <c r="H11" s="74" t="n"/>
      <c r="I11" s="74" t="n"/>
      <c r="J11" s="74" t="n"/>
      <c r="K11" s="75" t="n"/>
    </row>
    <row r="12" ht="14.25" customHeight="1" s="71"/>
    <row r="13" ht="14.25" customHeight="1" s="71">
      <c r="A13" s="82" t="inlineStr">
        <is>
          <t>DESCONTO AUTOMATICO</t>
        </is>
      </c>
      <c r="B13" s="74" t="n"/>
      <c r="C13" s="74" t="n"/>
      <c r="D13" s="74" t="n"/>
      <c r="E13" s="74" t="n"/>
      <c r="F13" s="74" t="n"/>
      <c r="G13" s="74" t="n"/>
      <c r="H13" s="74" t="n"/>
      <c r="I13" s="74" t="n"/>
      <c r="J13" s="74" t="n"/>
      <c r="K13" s="75" t="n"/>
    </row>
    <row r="14" ht="14.25" customHeight="1" s="71">
      <c r="A14" s="83" t="inlineStr">
        <is>
          <t>Pontos Comerciais</t>
        </is>
      </c>
      <c r="B14" s="74" t="n"/>
      <c r="C14" s="74" t="n"/>
      <c r="D14" s="74" t="n"/>
      <c r="E14" s="74" t="n"/>
      <c r="F14" s="75" t="n"/>
      <c r="G14" s="84">
        <f>IF(G9&lt;800,"MINIMO",IF(AND(G9&gt;=20000,G11&gt;=0.5),"65 PONTOS",IF(AND(G9&gt;=10000,G11&gt;=0.4),"60 PONTOS",IF(AND(G9&gt;=5000,G11&gt;=0.3),"55 PONTOS","50 PONTOS"))))</f>
        <v/>
      </c>
      <c r="H14" s="74" t="n"/>
      <c r="I14" s="74" t="n"/>
      <c r="J14" s="74" t="n"/>
      <c r="K14" s="75" t="n"/>
    </row>
    <row r="15" ht="14.25" customHeight="1" s="71">
      <c r="A15" s="83" t="inlineStr">
        <is>
          <t>Desconto Base</t>
        </is>
      </c>
      <c r="B15" s="74" t="n"/>
      <c r="C15" s="74" t="n"/>
      <c r="D15" s="74" t="n"/>
      <c r="E15" s="74" t="n"/>
      <c r="F15" s="75" t="n"/>
      <c r="G15" s="77">
        <f>IF(G9&gt;=800,50,0)</f>
        <v/>
      </c>
      <c r="H15" s="74" t="n"/>
      <c r="I15" s="74" t="n"/>
      <c r="J15" s="74" t="n"/>
      <c r="K15" s="75" t="n"/>
    </row>
    <row r="16" ht="14.25" customHeight="1" s="71">
      <c r="A16" s="83" t="inlineStr">
        <is>
          <t>Adicional por Mix</t>
        </is>
      </c>
      <c r="B16" s="74" t="n"/>
      <c r="C16" s="74" t="n"/>
      <c r="D16" s="74" t="n"/>
      <c r="E16" s="74" t="n"/>
      <c r="F16" s="75" t="n"/>
      <c r="G16" s="77">
        <f>IF(G14="55 PONTOS",5,IF(G14="60 PONTOS",10,IF(G14="65 PONTOS",15,0)))</f>
        <v/>
      </c>
      <c r="H16" s="74" t="n"/>
      <c r="I16" s="74" t="n"/>
      <c r="J16" s="74" t="n"/>
      <c r="K16" s="75" t="n"/>
    </row>
    <row r="17" ht="14.25" customHeight="1" s="71">
      <c r="A17" s="85" t="inlineStr">
        <is>
          <t>DESCONTO FINAL %</t>
        </is>
      </c>
      <c r="B17" s="74" t="n"/>
      <c r="C17" s="74" t="n"/>
      <c r="D17" s="74" t="n"/>
      <c r="E17" s="74" t="n"/>
      <c r="F17" s="75" t="n"/>
      <c r="G17" s="86">
        <f>G15+G16</f>
        <v/>
      </c>
      <c r="H17" s="74" t="n"/>
      <c r="I17" s="74" t="n"/>
      <c r="J17" s="74" t="n"/>
      <c r="K17" s="75" t="n"/>
    </row>
    <row r="18" ht="14.25" customHeight="1" s="71">
      <c r="A18" s="87" t="inlineStr">
        <is>
          <t>TOTAL BRUTO (sem desconto)</t>
        </is>
      </c>
      <c r="B18" s="74" t="n"/>
      <c r="C18" s="74" t="n"/>
      <c r="D18" s="74" t="n"/>
      <c r="E18" s="74" t="n"/>
      <c r="F18" s="75" t="n"/>
      <c r="G18" s="88">
        <f>G9</f>
        <v/>
      </c>
      <c r="H18" s="74" t="n"/>
      <c r="I18" s="74" t="n"/>
      <c r="J18" s="74" t="n"/>
      <c r="K18" s="75" t="n"/>
    </row>
    <row r="19" ht="14.25" customHeight="1" s="71">
      <c r="A19" s="89" t="inlineStr">
        <is>
          <t>TOTAL FINAL DO PEDIDO (Valor Líquido p/ Cliente)</t>
        </is>
      </c>
      <c r="B19" s="74" t="n"/>
      <c r="C19" s="74" t="n"/>
      <c r="D19" s="74" t="n"/>
      <c r="E19" s="74" t="n"/>
      <c r="F19" s="75" t="n"/>
      <c r="G19" s="90">
        <f>ROUND(G9*(1-G17/100),2)</f>
        <v/>
      </c>
      <c r="H19" s="74" t="n"/>
      <c r="I19" s="74" t="n"/>
      <c r="J19" s="74" t="n"/>
      <c r="K19" s="75" t="n"/>
    </row>
    <row r="20" ht="14.25" customHeight="1" s="71"/>
    <row r="21" ht="14.25" customHeight="1" s="71">
      <c r="A21" s="24" t="inlineStr">
        <is>
          <t>SKU</t>
        </is>
      </c>
      <c r="B21" s="24" t="inlineStr">
        <is>
          <t>CAIXA COM</t>
        </is>
      </c>
      <c r="C21" s="24" t="inlineStr">
        <is>
          <t>PRODUTO</t>
        </is>
      </c>
      <c r="D21" s="24" t="inlineStr">
        <is>
          <t>CATEGORIA</t>
        </is>
      </c>
      <c r="E21" s="24" t="inlineStr">
        <is>
          <t>TIPO</t>
        </is>
      </c>
      <c r="F21" s="24" t="inlineStr">
        <is>
          <t>QTD</t>
        </is>
      </c>
      <c r="G21" s="24" t="inlineStr">
        <is>
          <t>PRECO SUGERIDO</t>
        </is>
      </c>
      <c r="H21" s="24" t="inlineStr">
        <is>
          <t>DESC %</t>
        </is>
      </c>
      <c r="I21" s="24" t="inlineStr">
        <is>
          <t>VALOR DESC</t>
        </is>
      </c>
      <c r="J21" s="24" t="inlineStr">
        <is>
          <t>PRECO FINAL</t>
        </is>
      </c>
      <c r="K21" s="24" t="inlineStr">
        <is>
          <t>TOTAL</t>
        </is>
      </c>
    </row>
    <row r="22" ht="28.5" customHeight="1" s="71">
      <c r="A22" s="26" t="inlineStr">
        <is>
          <t>NYER26004</t>
        </is>
      </c>
      <c r="B22" s="26" t="n">
        <v>10</v>
      </c>
      <c r="C22" s="26" t="inlineStr">
        <is>
          <t>WHEY PROTEIN REFILL 420G CHOCOLATE</t>
        </is>
      </c>
      <c r="D22" s="26" t="inlineStr">
        <is>
          <t>PROTEINAS</t>
        </is>
      </c>
      <c r="E22" s="26" t="inlineStr">
        <is>
          <t>Proteico</t>
        </is>
      </c>
      <c r="F22" s="91" t="n"/>
      <c r="G22" s="28" t="n">
        <v>142</v>
      </c>
      <c r="H22" s="29">
        <f>$G$17</f>
        <v/>
      </c>
      <c r="I22" s="28">
        <f>IF(F22=0,0,G22*$G$17/100)</f>
        <v/>
      </c>
      <c r="J22" s="30">
        <f>IF(F22=0,0,G22-I22)</f>
        <v/>
      </c>
      <c r="K22" s="31">
        <f>SUM(J22*F22)</f>
        <v/>
      </c>
    </row>
    <row r="23" ht="28.5" customHeight="1" s="71">
      <c r="A23" s="26" t="inlineStr">
        <is>
          <t>NYER26005</t>
        </is>
      </c>
      <c r="B23" s="26" t="n">
        <v>10</v>
      </c>
      <c r="C23" s="26" t="inlineStr">
        <is>
          <t>WHEY PROTEIN REFILL 420G MORANGO</t>
        </is>
      </c>
      <c r="D23" s="26" t="inlineStr">
        <is>
          <t>PROTEINAS</t>
        </is>
      </c>
      <c r="E23" s="26" t="inlineStr">
        <is>
          <t>Proteico</t>
        </is>
      </c>
      <c r="F23" s="91" t="n"/>
      <c r="G23" s="28" t="n">
        <v>142</v>
      </c>
      <c r="H23" s="29">
        <f>$G$17</f>
        <v/>
      </c>
      <c r="I23" s="28">
        <f>IF(F23=0,0,G23*$G$17/100)</f>
        <v/>
      </c>
      <c r="J23" s="30">
        <f>IF(F23=0,0,G23-I23)</f>
        <v/>
      </c>
      <c r="K23" s="31">
        <f>SUM(J23*F23)</f>
        <v/>
      </c>
    </row>
    <row r="24" ht="14.25" customHeight="1" s="71">
      <c r="A24" s="26" t="inlineStr">
        <is>
          <t>NYER26006</t>
        </is>
      </c>
      <c r="B24" s="26" t="n">
        <v>10</v>
      </c>
      <c r="C24" s="26" t="inlineStr">
        <is>
          <t>WHEY PROTEIN REFILL 420G LEITINHO</t>
        </is>
      </c>
      <c r="D24" s="26" t="inlineStr">
        <is>
          <t>PROTEINAS</t>
        </is>
      </c>
      <c r="E24" s="26" t="inlineStr">
        <is>
          <t>Proteico</t>
        </is>
      </c>
      <c r="F24" s="91" t="n"/>
      <c r="G24" s="28" t="n">
        <v>142</v>
      </c>
      <c r="H24" s="29">
        <f>$G$17</f>
        <v/>
      </c>
      <c r="I24" s="28">
        <f>IF(F24=0,0,G24*$G$17/100)</f>
        <v/>
      </c>
      <c r="J24" s="30">
        <f>IF(F24=0,0,G24-I24)</f>
        <v/>
      </c>
      <c r="K24" s="31">
        <f>SUM(J24*F24)</f>
        <v/>
      </c>
    </row>
    <row r="25" ht="28.5" customHeight="1" s="71">
      <c r="A25" s="26" t="inlineStr">
        <is>
          <t>NYER26001</t>
        </is>
      </c>
      <c r="B25" s="26" t="n">
        <v>10</v>
      </c>
      <c r="C25" s="26" t="inlineStr">
        <is>
          <t>WHEY PROTEIN REFILL 900G CHOCOLATE</t>
        </is>
      </c>
      <c r="D25" s="26" t="inlineStr">
        <is>
          <t>PROTEINAS</t>
        </is>
      </c>
      <c r="E25" s="26" t="inlineStr">
        <is>
          <t>Proteico</t>
        </is>
      </c>
      <c r="F25" s="91" t="n"/>
      <c r="G25" s="28" t="n">
        <v>289.9</v>
      </c>
      <c r="H25" s="29">
        <f>$G$17</f>
        <v/>
      </c>
      <c r="I25" s="28">
        <f>IF(F25=0,0,G25*$G$17/100)</f>
        <v/>
      </c>
      <c r="J25" s="30">
        <f>IF(F25=0,0,G25-I25)</f>
        <v/>
      </c>
      <c r="K25" s="31">
        <f>SUM(J25*F25)</f>
        <v/>
      </c>
    </row>
    <row r="26" ht="28.5" customHeight="1" s="71">
      <c r="A26" s="26" t="inlineStr">
        <is>
          <t>NYER26002</t>
        </is>
      </c>
      <c r="B26" s="26" t="n">
        <v>10</v>
      </c>
      <c r="C26" s="26" t="inlineStr">
        <is>
          <t>WHEY PROTEIN REFILL 900G MORANGO</t>
        </is>
      </c>
      <c r="D26" s="26" t="inlineStr">
        <is>
          <t>PROTEINAS</t>
        </is>
      </c>
      <c r="E26" s="26" t="inlineStr">
        <is>
          <t>Proteico</t>
        </is>
      </c>
      <c r="F26" s="91" t="n"/>
      <c r="G26" s="28" t="n">
        <v>289.9</v>
      </c>
      <c r="H26" s="29">
        <f>$G$17</f>
        <v/>
      </c>
      <c r="I26" s="28">
        <f>IF(F26=0,0,G26*$G$17/100)</f>
        <v/>
      </c>
      <c r="J26" s="30">
        <f>IF(F26=0,0,G26-I26)</f>
        <v/>
      </c>
      <c r="K26" s="31">
        <f>SUM(J26*F26)</f>
        <v/>
      </c>
    </row>
    <row r="27" ht="28.5" customHeight="1" s="71">
      <c r="A27" s="26" t="inlineStr">
        <is>
          <t>NYER26003</t>
        </is>
      </c>
      <c r="B27" s="26" t="n">
        <v>10</v>
      </c>
      <c r="C27" s="26" t="inlineStr">
        <is>
          <t>WHEY PROTEIN REFILL 900G LEITINHO</t>
        </is>
      </c>
      <c r="D27" s="26" t="inlineStr">
        <is>
          <t>PROTEINAS</t>
        </is>
      </c>
      <c r="E27" s="26" t="inlineStr">
        <is>
          <t>Proteico</t>
        </is>
      </c>
      <c r="F27" s="91" t="n"/>
      <c r="G27" s="28" t="n">
        <v>289.9</v>
      </c>
      <c r="H27" s="29">
        <f>$G$17</f>
        <v/>
      </c>
      <c r="I27" s="28">
        <f>IF(F27=0,0,G27*$G$17/100)</f>
        <v/>
      </c>
      <c r="J27" s="30">
        <f>IF(F27=0,0,G27-I27)</f>
        <v/>
      </c>
      <c r="K27" s="31">
        <f>SUM(J27*F27)</f>
        <v/>
      </c>
    </row>
    <row r="28" ht="14.25" customHeight="1" s="71">
      <c r="A28" s="26" t="inlineStr">
        <is>
          <t>NYER26009</t>
        </is>
      </c>
      <c r="B28" s="26" t="n">
        <v>10</v>
      </c>
      <c r="C28" s="26" t="inlineStr">
        <is>
          <t>WHEY PROTEIN REFILL 1KG BAUNILHA</t>
        </is>
      </c>
      <c r="D28" s="26" t="inlineStr">
        <is>
          <t>PROTEINAS</t>
        </is>
      </c>
      <c r="E28" s="26" t="inlineStr">
        <is>
          <t>Proteico</t>
        </is>
      </c>
      <c r="F28" s="91" t="n"/>
      <c r="G28" s="28" t="n">
        <v>319.9</v>
      </c>
      <c r="H28" s="29">
        <f>$G$17</f>
        <v/>
      </c>
      <c r="I28" s="28">
        <f>IF(F28=0,0,G28*$G$17/100)</f>
        <v/>
      </c>
      <c r="J28" s="30">
        <f>IF(F28=0,0,G28-I28)</f>
        <v/>
      </c>
      <c r="K28" s="31">
        <f>SUM(J28*F28)</f>
        <v/>
      </c>
    </row>
    <row r="29" ht="14.25" customHeight="1" s="71">
      <c r="A29" s="26" t="inlineStr">
        <is>
          <t>NYER26008</t>
        </is>
      </c>
      <c r="B29" s="26" t="n">
        <v>10</v>
      </c>
      <c r="C29" s="26" t="inlineStr">
        <is>
          <t>WHEY PROTEIN REFILL 1KG MORANGO</t>
        </is>
      </c>
      <c r="D29" s="26" t="inlineStr">
        <is>
          <t>PROTEINAS</t>
        </is>
      </c>
      <c r="E29" s="26" t="inlineStr">
        <is>
          <t>Proteico</t>
        </is>
      </c>
      <c r="F29" s="91" t="n"/>
      <c r="G29" s="28" t="n">
        <v>319.9</v>
      </c>
      <c r="H29" s="29">
        <f>$G$17</f>
        <v/>
      </c>
      <c r="I29" s="28">
        <f>IF(F29=0,0,G29*$G$17/100)</f>
        <v/>
      </c>
      <c r="J29" s="30">
        <f>IF(F29=0,0,G29-I29)</f>
        <v/>
      </c>
      <c r="K29" s="31">
        <f>SUM(J29*F29)</f>
        <v/>
      </c>
    </row>
    <row r="30" ht="14.25" customHeight="1" s="71">
      <c r="A30" s="26" t="inlineStr">
        <is>
          <t>NYER26007</t>
        </is>
      </c>
      <c r="B30" s="26" t="n">
        <v>10</v>
      </c>
      <c r="C30" s="26" t="inlineStr">
        <is>
          <t>WHEY PROTEIN REFILL 1KG CHOCOLATE</t>
        </is>
      </c>
      <c r="D30" s="26" t="inlineStr">
        <is>
          <t>PROTEINAS</t>
        </is>
      </c>
      <c r="E30" s="26" t="inlineStr">
        <is>
          <t>Proteico</t>
        </is>
      </c>
      <c r="F30" s="91" t="n"/>
      <c r="G30" s="28" t="n">
        <v>319.9</v>
      </c>
      <c r="H30" s="29">
        <f>$G$17</f>
        <v/>
      </c>
      <c r="I30" s="28">
        <f>IF(F30=0,0,G30*$G$17/100)</f>
        <v/>
      </c>
      <c r="J30" s="30">
        <f>IF(F30=0,0,G30-I30)</f>
        <v/>
      </c>
      <c r="K30" s="31">
        <f>SUM(J30*F30)</f>
        <v/>
      </c>
    </row>
    <row r="31" ht="14.25" customHeight="1" s="71">
      <c r="A31" s="26" t="inlineStr">
        <is>
          <t>NYER26011</t>
        </is>
      </c>
      <c r="B31" s="26" t="n">
        <v>10</v>
      </c>
      <c r="C31" s="26" t="inlineStr">
        <is>
          <t>WHEY PROTEIN REFILL 1KG DOCE DE LEITE</t>
        </is>
      </c>
      <c r="D31" s="26" t="inlineStr">
        <is>
          <t>PROTEINAS</t>
        </is>
      </c>
      <c r="E31" s="26" t="inlineStr">
        <is>
          <t>Proteico</t>
        </is>
      </c>
      <c r="F31" s="91" t="n"/>
      <c r="G31" s="28" t="n">
        <v>319.9</v>
      </c>
      <c r="H31" s="29">
        <f>$G$17</f>
        <v/>
      </c>
      <c r="I31" s="28">
        <f>IF(F31=0,0,G31*$G$17/100)</f>
        <v/>
      </c>
      <c r="J31" s="30">
        <f>IF(F31=0,0,G31-I31)</f>
        <v/>
      </c>
      <c r="K31" s="31">
        <f>SUM(J31*F31)</f>
        <v/>
      </c>
    </row>
    <row r="32" ht="14.25" customHeight="1" s="71">
      <c r="A32" s="26" t="inlineStr">
        <is>
          <t>NYER26010</t>
        </is>
      </c>
      <c r="B32" s="26" t="n">
        <v>10</v>
      </c>
      <c r="C32" s="26" t="inlineStr">
        <is>
          <t>WHEY PROTEIN REFILL 1KG COOKIES</t>
        </is>
      </c>
      <c r="D32" s="26" t="inlineStr">
        <is>
          <t>PROTEINAS</t>
        </is>
      </c>
      <c r="E32" s="26" t="inlineStr">
        <is>
          <t>Proteico</t>
        </is>
      </c>
      <c r="F32" s="91" t="n"/>
      <c r="G32" s="28" t="n">
        <v>319.9</v>
      </c>
      <c r="H32" s="29">
        <f>$G$17</f>
        <v/>
      </c>
      <c r="I32" s="28">
        <f>IF(F32=0,0,G32*$G$17/100)</f>
        <v/>
      </c>
      <c r="J32" s="30">
        <f>IF(F32=0,0,G32-I32)</f>
        <v/>
      </c>
      <c r="K32" s="31">
        <f>SUM(J32*F32)</f>
        <v/>
      </c>
    </row>
    <row r="33" ht="14.25" customHeight="1" s="71">
      <c r="A33" s="26" t="inlineStr">
        <is>
          <t>NYER26014</t>
        </is>
      </c>
      <c r="B33" s="26" t="n">
        <v>6</v>
      </c>
      <c r="C33" s="26" t="inlineStr">
        <is>
          <t>WHEY PROTEIN GOURMET 1KG LEITINHO</t>
        </is>
      </c>
      <c r="D33" s="26" t="inlineStr">
        <is>
          <t>PROTEINAS</t>
        </is>
      </c>
      <c r="E33" s="26" t="inlineStr">
        <is>
          <t>Proteico</t>
        </is>
      </c>
      <c r="F33" s="91" t="n"/>
      <c r="G33" s="28" t="n">
        <v>299.9</v>
      </c>
      <c r="H33" s="29">
        <f>$G$17</f>
        <v/>
      </c>
      <c r="I33" s="28">
        <f>IF(F33=0,0,G33*$G$17/100)</f>
        <v/>
      </c>
      <c r="J33" s="30">
        <f>IF(F33=0,0,G33-I33)</f>
        <v/>
      </c>
      <c r="K33" s="31">
        <f>SUM(J33*F33)</f>
        <v/>
      </c>
    </row>
    <row r="34" ht="14.25" customHeight="1" s="71">
      <c r="A34" s="26" t="inlineStr">
        <is>
          <t>NYER26013</t>
        </is>
      </c>
      <c r="B34" s="26" t="n">
        <v>6</v>
      </c>
      <c r="C34" s="26" t="inlineStr">
        <is>
          <t>WHEY PROTEIN GOURMET 1KG MILKSHAKE</t>
        </is>
      </c>
      <c r="D34" s="26" t="inlineStr">
        <is>
          <t>PROTEINAS</t>
        </is>
      </c>
      <c r="E34" s="26" t="inlineStr">
        <is>
          <t>Proteico</t>
        </is>
      </c>
      <c r="F34" s="91" t="n"/>
      <c r="G34" s="28" t="n">
        <v>299.9</v>
      </c>
      <c r="H34" s="29">
        <f>$G$17</f>
        <v/>
      </c>
      <c r="I34" s="28">
        <f>IF(F34=0,0,G34*$G$17/100)</f>
        <v/>
      </c>
      <c r="J34" s="30">
        <f>IF(F34=0,0,G34-I34)</f>
        <v/>
      </c>
      <c r="K34" s="31">
        <f>SUM(J34*F34)</f>
        <v/>
      </c>
    </row>
    <row r="35" ht="14.25" customHeight="1" s="71">
      <c r="A35" s="26" t="inlineStr">
        <is>
          <t>NYER26012</t>
        </is>
      </c>
      <c r="B35" s="26" t="n">
        <v>6</v>
      </c>
      <c r="C35" s="26" t="inlineStr">
        <is>
          <t>WHEY PROTEIN GOURMET 1KG CHOCOLATE TRUFADO</t>
        </is>
      </c>
      <c r="D35" s="26" t="inlineStr">
        <is>
          <t>PROTEINAS</t>
        </is>
      </c>
      <c r="E35" s="26" t="inlineStr">
        <is>
          <t>Proteico</t>
        </is>
      </c>
      <c r="F35" s="91" t="n"/>
      <c r="G35" s="28" t="n">
        <v>299.9</v>
      </c>
      <c r="H35" s="29">
        <f>$G$17</f>
        <v/>
      </c>
      <c r="I35" s="28">
        <f>IF(F35=0,0,G35*$G$17/100)</f>
        <v/>
      </c>
      <c r="J35" s="30">
        <f>IF(F35=0,0,G35-I35)</f>
        <v/>
      </c>
      <c r="K35" s="31">
        <f>SUM(J35*F35)</f>
        <v/>
      </c>
    </row>
    <row r="36" ht="28.5" customHeight="1" s="71">
      <c r="A36" s="26" t="inlineStr">
        <is>
          <t>NYER26016</t>
        </is>
      </c>
      <c r="B36" s="26" t="n">
        <v>6</v>
      </c>
      <c r="C36" s="26" t="inlineStr">
        <is>
          <t>WHEY PROTEIN GOURMET 1KG MOUSSE MARACUJA</t>
        </is>
      </c>
      <c r="D36" s="26" t="inlineStr">
        <is>
          <t>PROTEINAS</t>
        </is>
      </c>
      <c r="E36" s="26" t="inlineStr">
        <is>
          <t>Proteico</t>
        </is>
      </c>
      <c r="F36" s="91" t="n"/>
      <c r="G36" s="28" t="n">
        <v>299.9</v>
      </c>
      <c r="H36" s="29">
        <f>$G$17</f>
        <v/>
      </c>
      <c r="I36" s="28">
        <f>IF(F36=0,0,G36*$G$17/100)</f>
        <v/>
      </c>
      <c r="J36" s="30">
        <f>IF(F36=0,0,G36-I36)</f>
        <v/>
      </c>
      <c r="K36" s="31">
        <f>SUM(J36*F36)</f>
        <v/>
      </c>
    </row>
    <row r="37" ht="14.25" customHeight="1" s="71">
      <c r="A37" s="26" t="inlineStr">
        <is>
          <t>NYER26015</t>
        </is>
      </c>
      <c r="B37" s="26" t="n">
        <v>6</v>
      </c>
      <c r="C37" s="26" t="inlineStr">
        <is>
          <t>WHEY PROTEIN GOURMET 1KG ACAI</t>
        </is>
      </c>
      <c r="D37" s="26" t="inlineStr">
        <is>
          <t>PROTEINAS</t>
        </is>
      </c>
      <c r="E37" s="26" t="inlineStr">
        <is>
          <t>Proteico</t>
        </is>
      </c>
      <c r="F37" s="91" t="n"/>
      <c r="G37" s="28" t="n">
        <v>299.9</v>
      </c>
      <c r="H37" s="29">
        <f>$G$17</f>
        <v/>
      </c>
      <c r="I37" s="28">
        <f>IF(F37=0,0,G37*$G$17/100)</f>
        <v/>
      </c>
      <c r="J37" s="30">
        <f>IF(F37=0,0,G37-I37)</f>
        <v/>
      </c>
      <c r="K37" s="31">
        <f>SUM(J37*F37)</f>
        <v/>
      </c>
    </row>
    <row r="38" ht="14.25" customHeight="1" s="71">
      <c r="A38" s="26" t="inlineStr">
        <is>
          <t>NYER260428</t>
        </is>
      </c>
      <c r="B38" s="26" t="n">
        <v>6</v>
      </c>
      <c r="C38" s="26" t="inlineStr">
        <is>
          <t>WHEY PROTEIN GOURMET 1KG CHOCOLATE MALTADO</t>
        </is>
      </c>
      <c r="D38" s="26" t="inlineStr">
        <is>
          <t>PROTEINAS</t>
        </is>
      </c>
      <c r="E38" s="26" t="inlineStr">
        <is>
          <t>Proteico</t>
        </is>
      </c>
      <c r="F38" s="91" t="n"/>
      <c r="G38" s="28" t="n">
        <v>299.9</v>
      </c>
      <c r="H38" s="29">
        <f>$G$17</f>
        <v/>
      </c>
      <c r="I38" s="28">
        <f>IF(F38=0,0,G38*$G$17/100)</f>
        <v/>
      </c>
      <c r="J38" s="30">
        <f>IF(F38=0,0,G38-I38)</f>
        <v/>
      </c>
      <c r="K38" s="31">
        <f>SUM(J38*F38)</f>
        <v/>
      </c>
    </row>
    <row r="39" ht="14.25" customHeight="1" s="71">
      <c r="A39" s="33" t="inlineStr">
        <is>
          <t>NYER260344</t>
        </is>
      </c>
      <c r="B39" s="33" t="n">
        <v>6</v>
      </c>
      <c r="C39" s="33" t="inlineStr">
        <is>
          <t>WHEY PROTEIN GOURMET 1KG CHOCOLATE BRANCO (SEM ESTOQUE)</t>
        </is>
      </c>
      <c r="D39" s="33" t="inlineStr">
        <is>
          <t>PROTEINAS</t>
        </is>
      </c>
      <c r="E39" s="33" t="inlineStr">
        <is>
          <t>Proteico</t>
        </is>
      </c>
      <c r="F39" s="91" t="n"/>
      <c r="G39" s="34" t="n">
        <v>299.9</v>
      </c>
      <c r="H39" s="35">
        <f>$G$17</f>
        <v/>
      </c>
      <c r="I39" s="34">
        <f>IF(F39=0,0,G39*$G$17/100)</f>
        <v/>
      </c>
      <c r="J39" s="34">
        <f>IF(F39=0,0,G39-I39)</f>
        <v/>
      </c>
      <c r="K39" s="36">
        <f>SUM(J39*F39)</f>
        <v/>
      </c>
      <c r="L39" s="37" t="n"/>
    </row>
    <row r="40" ht="14.25" customHeight="1" s="71">
      <c r="A40" s="26" t="inlineStr">
        <is>
          <t>NYER260430</t>
        </is>
      </c>
      <c r="B40" s="26" t="n">
        <v>10</v>
      </c>
      <c r="C40" s="26" t="inlineStr">
        <is>
          <t>HYDRO PROTEIN REFIL 820G CHOCOLATE MALTADO</t>
        </is>
      </c>
      <c r="D40" s="26" t="inlineStr">
        <is>
          <t>PROTEINAS</t>
        </is>
      </c>
      <c r="E40" s="26" t="inlineStr">
        <is>
          <t>Proteico</t>
        </is>
      </c>
      <c r="F40" s="91" t="n"/>
      <c r="G40" s="28" t="n">
        <v>149.9</v>
      </c>
      <c r="H40" s="29">
        <f>$G$17</f>
        <v/>
      </c>
      <c r="I40" s="28">
        <f>IF(F40=0,0,G40*$G$17/100)</f>
        <v/>
      </c>
      <c r="J40" s="30">
        <f>IF(F40=0,0,G40-I40)</f>
        <v/>
      </c>
      <c r="K40" s="31">
        <f>SUM(J40*F40)</f>
        <v/>
      </c>
    </row>
    <row r="41" ht="28.5" customHeight="1" s="71">
      <c r="A41" s="26" t="inlineStr">
        <is>
          <t>NYER260432</t>
        </is>
      </c>
      <c r="B41" s="26" t="n">
        <v>10</v>
      </c>
      <c r="C41" s="26" t="inlineStr">
        <is>
          <t>HYDRO PROTEIN REFIL 820G CHOCOLATE</t>
        </is>
      </c>
      <c r="D41" s="26" t="inlineStr">
        <is>
          <t>PROTEINAS</t>
        </is>
      </c>
      <c r="E41" s="26" t="inlineStr">
        <is>
          <t>Proteico</t>
        </is>
      </c>
      <c r="F41" s="91" t="n"/>
      <c r="G41" s="28" t="n">
        <v>149.9</v>
      </c>
      <c r="H41" s="29">
        <f>$G$17</f>
        <v/>
      </c>
      <c r="I41" s="28">
        <f>IF(F41=0,0,G41*$G$17/100)</f>
        <v/>
      </c>
      <c r="J41" s="30">
        <f>IF(F41=0,0,G41-I41)</f>
        <v/>
      </c>
      <c r="K41" s="31">
        <f>SUM(J41*F41)</f>
        <v/>
      </c>
    </row>
    <row r="42" ht="28.5" customHeight="1" s="71">
      <c r="A42" s="26" t="inlineStr">
        <is>
          <t>NYER260431</t>
        </is>
      </c>
      <c r="B42" s="26" t="n">
        <v>10</v>
      </c>
      <c r="C42" s="26" t="inlineStr">
        <is>
          <t>HYDRO PROTEIN REFIL 820G ORIGINAL</t>
        </is>
      </c>
      <c r="D42" s="26" t="inlineStr">
        <is>
          <t>PROTEINAS</t>
        </is>
      </c>
      <c r="E42" s="26" t="inlineStr">
        <is>
          <t>Proteico</t>
        </is>
      </c>
      <c r="F42" s="91" t="n"/>
      <c r="G42" s="28" t="n">
        <v>149.9</v>
      </c>
      <c r="H42" s="29">
        <f>$G$17</f>
        <v/>
      </c>
      <c r="I42" s="28">
        <f>IF(F42=0,0,G42*$G$17/100)</f>
        <v/>
      </c>
      <c r="J42" s="30">
        <f>IF(F42=0,0,G42-I42)</f>
        <v/>
      </c>
      <c r="K42" s="31">
        <f>SUM(J42*F42)</f>
        <v/>
      </c>
    </row>
    <row r="43" ht="14.25" customHeight="1" s="71">
      <c r="A43" s="26" t="inlineStr">
        <is>
          <t>NYER260433</t>
        </is>
      </c>
      <c r="B43" s="26" t="n">
        <v>10</v>
      </c>
      <c r="C43" s="26" t="inlineStr">
        <is>
          <t>HYDRO PROTEIN REFIL 820G MILKSHAKE</t>
        </is>
      </c>
      <c r="D43" s="26" t="inlineStr">
        <is>
          <t>PROTEINAS</t>
        </is>
      </c>
      <c r="E43" s="26" t="inlineStr">
        <is>
          <t>Proteico</t>
        </is>
      </c>
      <c r="F43" s="91" t="n"/>
      <c r="G43" s="28" t="n">
        <v>149.9</v>
      </c>
      <c r="H43" s="29">
        <f>$G$17</f>
        <v/>
      </c>
      <c r="I43" s="28">
        <f>IF(F43=0,0,G43*$G$17/100)</f>
        <v/>
      </c>
      <c r="J43" s="30">
        <f>IF(F43=0,0,G43-I43)</f>
        <v/>
      </c>
      <c r="K43" s="31">
        <f>SUM(J43*F43)</f>
        <v/>
      </c>
    </row>
    <row r="44" ht="14.25" customHeight="1" s="71">
      <c r="A44" s="26" t="inlineStr">
        <is>
          <t>NYER26028</t>
        </is>
      </c>
      <c r="B44" s="26" t="n">
        <v>10</v>
      </c>
      <c r="C44" s="26" t="inlineStr">
        <is>
          <t>CREATINA REFILL 150G</t>
        </is>
      </c>
      <c r="D44" s="26" t="inlineStr">
        <is>
          <t>AMINOACIDOS</t>
        </is>
      </c>
      <c r="E44" s="26" t="inlineStr">
        <is>
          <t>Nao Proteico</t>
        </is>
      </c>
      <c r="F44" s="91" t="n">
        <v>15</v>
      </c>
      <c r="G44" s="28" t="n">
        <v>59.9</v>
      </c>
      <c r="H44" s="29">
        <f>$G$17</f>
        <v/>
      </c>
      <c r="I44" s="28">
        <f>IF(F44=0,0,G44*$G$17/100)</f>
        <v/>
      </c>
      <c r="J44" s="30">
        <f>IF(F44=0,0,G44-I44)</f>
        <v/>
      </c>
      <c r="K44" s="31">
        <f>SUM(J44*F44)</f>
        <v/>
      </c>
    </row>
    <row r="45" ht="14.25" customHeight="1" s="71">
      <c r="A45" s="26" t="inlineStr">
        <is>
          <t>NYER26029</t>
        </is>
      </c>
      <c r="B45" s="26" t="n">
        <v>10</v>
      </c>
      <c r="C45" s="26" t="inlineStr">
        <is>
          <t>CREATINA REFILL 300G</t>
        </is>
      </c>
      <c r="D45" s="26" t="inlineStr">
        <is>
          <t>AMINOACIDOS</t>
        </is>
      </c>
      <c r="E45" s="26" t="inlineStr">
        <is>
          <t>Nao Proteico</t>
        </is>
      </c>
      <c r="F45" s="91" t="n">
        <v>15</v>
      </c>
      <c r="G45" s="28" t="n">
        <v>68.90000000000001</v>
      </c>
      <c r="H45" s="29">
        <f>$G$17</f>
        <v/>
      </c>
      <c r="I45" s="28">
        <f>IF(F45=0,0,G45*$G$17/100)</f>
        <v/>
      </c>
      <c r="J45" s="30">
        <f>IF(F45=0,0,G45-I45)</f>
        <v/>
      </c>
      <c r="K45" s="31">
        <f>SUM(J45*F45)</f>
        <v/>
      </c>
    </row>
    <row r="46" ht="14.25" customHeight="1" s="71">
      <c r="A46" s="26" t="inlineStr">
        <is>
          <t>NYER260434</t>
        </is>
      </c>
      <c r="B46" s="26" t="n">
        <v>12</v>
      </c>
      <c r="C46" s="26" t="inlineStr">
        <is>
          <t>CREATINA POTE 300G</t>
        </is>
      </c>
      <c r="D46" s="26" t="inlineStr">
        <is>
          <t>AMINOACIDOS</t>
        </is>
      </c>
      <c r="E46" s="26" t="inlineStr">
        <is>
          <t>Nao Proteico</t>
        </is>
      </c>
      <c r="F46" s="91" t="n">
        <v>15</v>
      </c>
      <c r="G46" s="28" t="n">
        <v>74.90000000000001</v>
      </c>
      <c r="H46" s="29">
        <f>$G$17</f>
        <v/>
      </c>
      <c r="I46" s="28">
        <f>IF(F46=0,0,G46*$G$17/100)</f>
        <v/>
      </c>
      <c r="J46" s="30">
        <f>IF(F46=0,0,G46-I46)</f>
        <v/>
      </c>
      <c r="K46" s="31">
        <f>SUM(J46*F46)</f>
        <v/>
      </c>
    </row>
    <row r="47" ht="14.25" customHeight="1" s="71">
      <c r="A47" s="26" t="inlineStr">
        <is>
          <t>NYER26030</t>
        </is>
      </c>
      <c r="B47" s="26" t="n">
        <v>10</v>
      </c>
      <c r="C47" s="26" t="inlineStr">
        <is>
          <t>CREATINA REFILL 500G</t>
        </is>
      </c>
      <c r="D47" s="26" t="inlineStr">
        <is>
          <t>AMINOACIDOS</t>
        </is>
      </c>
      <c r="E47" s="26" t="inlineStr">
        <is>
          <t>Nao Proteico</t>
        </is>
      </c>
      <c r="F47" s="91" t="n">
        <v>15</v>
      </c>
      <c r="G47" s="28" t="n">
        <v>99.90000000000001</v>
      </c>
      <c r="H47" s="29">
        <f>$G$17</f>
        <v/>
      </c>
      <c r="I47" s="28">
        <f>IF(F47=0,0,G47*$G$17/100)</f>
        <v/>
      </c>
      <c r="J47" s="30">
        <f>IF(F47=0,0,G47-I47)</f>
        <v/>
      </c>
      <c r="K47" s="31">
        <f>SUM(J47*F47)</f>
        <v/>
      </c>
    </row>
    <row r="48" ht="14.25" customHeight="1" s="71">
      <c r="A48" s="26" t="inlineStr">
        <is>
          <t>NYER26017</t>
        </is>
      </c>
      <c r="B48" s="26" t="n">
        <v>12</v>
      </c>
      <c r="C48" s="26" t="inlineStr">
        <is>
          <t>DARKPUMP PRE-WORKOUT 300G UVA</t>
        </is>
      </c>
      <c r="D48" s="26" t="inlineStr">
        <is>
          <t>PRE-TREINO</t>
        </is>
      </c>
      <c r="E48" s="26" t="inlineStr">
        <is>
          <t>Nao Proteico</t>
        </is>
      </c>
      <c r="F48" s="91" t="n">
        <v>15</v>
      </c>
      <c r="G48" s="28" t="n">
        <v>119.9</v>
      </c>
      <c r="H48" s="29">
        <f>$G$17</f>
        <v/>
      </c>
      <c r="I48" s="28">
        <f>IF(F48=0,0,G48*$G$17/100)</f>
        <v/>
      </c>
      <c r="J48" s="30">
        <f>IF(F48=0,0,G48-I48)</f>
        <v/>
      </c>
      <c r="K48" s="31">
        <f>SUM(J48*F48)</f>
        <v/>
      </c>
    </row>
    <row r="49" ht="14.25" customHeight="1" s="71">
      <c r="A49" s="26" t="inlineStr">
        <is>
          <t>NYER26018</t>
        </is>
      </c>
      <c r="B49" s="26" t="n">
        <v>12</v>
      </c>
      <c r="C49" s="26" t="inlineStr">
        <is>
          <t>DARKPUMP PRE-WORKOUT 300G FRUTAS VERMELHAS</t>
        </is>
      </c>
      <c r="D49" s="26" t="inlineStr">
        <is>
          <t>PRE-TREINO</t>
        </is>
      </c>
      <c r="E49" s="26" t="inlineStr">
        <is>
          <t>Nao Proteico</t>
        </is>
      </c>
      <c r="F49" s="91" t="n">
        <v>15</v>
      </c>
      <c r="G49" s="28" t="n">
        <v>119.9</v>
      </c>
      <c r="H49" s="29">
        <f>$G$17</f>
        <v/>
      </c>
      <c r="I49" s="28">
        <f>IF(F49=0,0,G49*$G$17/100)</f>
        <v/>
      </c>
      <c r="J49" s="30">
        <f>IF(F49=0,0,G49-I49)</f>
        <v/>
      </c>
      <c r="K49" s="31">
        <f>SUM(J49*F49)</f>
        <v/>
      </c>
    </row>
    <row r="50" ht="14.25" customHeight="1" s="71">
      <c r="A50" s="26" t="inlineStr">
        <is>
          <t>NYER26019</t>
        </is>
      </c>
      <c r="B50" s="26" t="n">
        <v>12</v>
      </c>
      <c r="C50" s="26" t="inlineStr">
        <is>
          <t>DARKPUMP PRE-WORKOUT 300G LIMAO</t>
        </is>
      </c>
      <c r="D50" s="26" t="inlineStr">
        <is>
          <t>PRE-TREINO</t>
        </is>
      </c>
      <c r="E50" s="26" t="inlineStr">
        <is>
          <t>Nao Proteico</t>
        </is>
      </c>
      <c r="F50" s="91" t="n">
        <v>15</v>
      </c>
      <c r="G50" s="28" t="n">
        <v>119.9</v>
      </c>
      <c r="H50" s="29">
        <f>$G$17</f>
        <v/>
      </c>
      <c r="I50" s="28">
        <f>IF(F50=0,0,G50*$G$17/100)</f>
        <v/>
      </c>
      <c r="J50" s="30">
        <f>IF(F50=0,0,G50-I50)</f>
        <v/>
      </c>
      <c r="K50" s="31">
        <f>SUM(J50*F50)</f>
        <v/>
      </c>
    </row>
    <row r="51" ht="14.25" customHeight="1" s="71">
      <c r="A51" s="26" t="inlineStr">
        <is>
          <t>NYER26020</t>
        </is>
      </c>
      <c r="B51" s="26" t="n">
        <v>12</v>
      </c>
      <c r="C51" s="26" t="inlineStr">
        <is>
          <t>PUREBUST PRE-WORKOUT 300G UVA</t>
        </is>
      </c>
      <c r="D51" s="26" t="inlineStr">
        <is>
          <t>PRE-TREINO</t>
        </is>
      </c>
      <c r="E51" s="26" t="inlineStr">
        <is>
          <t>Nao Proteico</t>
        </is>
      </c>
      <c r="F51" s="91" t="n">
        <v>15</v>
      </c>
      <c r="G51" s="28" t="n">
        <v>99.90000000000001</v>
      </c>
      <c r="H51" s="29">
        <f>$G$17</f>
        <v/>
      </c>
      <c r="I51" s="28">
        <f>IF(F51=0,0,G51*$G$17/100)</f>
        <v/>
      </c>
      <c r="J51" s="30">
        <f>IF(F51=0,0,G51-I51)</f>
        <v/>
      </c>
      <c r="K51" s="31">
        <f>SUM(J51*F51)</f>
        <v/>
      </c>
    </row>
    <row r="52" ht="14.25" customHeight="1" s="71">
      <c r="A52" s="26" t="inlineStr">
        <is>
          <t>NYER26021</t>
        </is>
      </c>
      <c r="B52" s="26" t="n">
        <v>12</v>
      </c>
      <c r="C52" s="26" t="inlineStr">
        <is>
          <t>PUREBUST PRE-WORKOUT 300G MORANGO</t>
        </is>
      </c>
      <c r="D52" s="26" t="inlineStr">
        <is>
          <t>PRE-TREINO</t>
        </is>
      </c>
      <c r="E52" s="26" t="inlineStr">
        <is>
          <t>Nao Proteico</t>
        </is>
      </c>
      <c r="F52" s="91" t="n">
        <v>15</v>
      </c>
      <c r="G52" s="28" t="n">
        <v>99.90000000000001</v>
      </c>
      <c r="H52" s="29">
        <f>$G$17</f>
        <v/>
      </c>
      <c r="I52" s="28">
        <f>IF(F52=0,0,G52*$G$17/100)</f>
        <v/>
      </c>
      <c r="J52" s="30">
        <f>IF(F52=0,0,G52-I52)</f>
        <v/>
      </c>
      <c r="K52" s="31">
        <f>SUM(J52*F52)</f>
        <v/>
      </c>
    </row>
    <row r="53" ht="14.25" customHeight="1" s="71">
      <c r="A53" s="26" t="inlineStr">
        <is>
          <t>NYER26022</t>
        </is>
      </c>
      <c r="B53" s="26" t="n">
        <v>12</v>
      </c>
      <c r="C53" s="26" t="inlineStr">
        <is>
          <t>PUREBUST PRE-WORKOUT 300G LIMAO</t>
        </is>
      </c>
      <c r="D53" s="26" t="inlineStr">
        <is>
          <t>PRE-TREINO</t>
        </is>
      </c>
      <c r="E53" s="26" t="inlineStr">
        <is>
          <t>Nao Proteico</t>
        </is>
      </c>
      <c r="F53" s="91" t="n">
        <v>15</v>
      </c>
      <c r="G53" s="28" t="n">
        <v>99.90000000000001</v>
      </c>
      <c r="H53" s="29">
        <f>$G$17</f>
        <v/>
      </c>
      <c r="I53" s="28">
        <f>IF(F53=0,0,G53*$G$17/100)</f>
        <v/>
      </c>
      <c r="J53" s="30">
        <f>IF(F53=0,0,G53-I53)</f>
        <v/>
      </c>
      <c r="K53" s="31">
        <f>SUM(J53*F53)</f>
        <v/>
      </c>
    </row>
    <row r="54" ht="14.25" customHeight="1" s="71">
      <c r="A54" s="26" t="inlineStr">
        <is>
          <t>NYER26023</t>
        </is>
      </c>
      <c r="B54" s="26" t="n">
        <v>12</v>
      </c>
      <c r="C54" s="26" t="inlineStr">
        <is>
          <t>TERMOGENICO BRUTAL 60CAP</t>
        </is>
      </c>
      <c r="D54" s="26" t="inlineStr">
        <is>
          <t>EMAGRECEDORES</t>
        </is>
      </c>
      <c r="E54" s="26" t="inlineStr">
        <is>
          <t>Nao Proteico</t>
        </is>
      </c>
      <c r="F54" s="91" t="n">
        <v>15</v>
      </c>
      <c r="G54" s="28" t="n">
        <v>99.90000000000001</v>
      </c>
      <c r="H54" s="29">
        <f>$G$17</f>
        <v/>
      </c>
      <c r="I54" s="28">
        <f>IF(F54=0,0,G54*$G$17/100)</f>
        <v/>
      </c>
      <c r="J54" s="30">
        <f>IF(F54=0,0,G54-I54)</f>
        <v/>
      </c>
      <c r="K54" s="31">
        <f>SUM(J54*F54)</f>
        <v/>
      </c>
    </row>
    <row r="55" ht="14.25" customHeight="1" s="71">
      <c r="A55" s="26" t="inlineStr">
        <is>
          <t>NYER26024</t>
        </is>
      </c>
      <c r="B55" s="26" t="n">
        <v>12</v>
      </c>
      <c r="C55" s="26" t="inlineStr">
        <is>
          <t>DIURETICO SEEKDRY 300G</t>
        </is>
      </c>
      <c r="D55" s="26" t="inlineStr">
        <is>
          <t>EMAGRECEDORES</t>
        </is>
      </c>
      <c r="E55" s="26" t="inlineStr">
        <is>
          <t>Nao Proteico</t>
        </is>
      </c>
      <c r="F55" s="91" t="n">
        <v>15</v>
      </c>
      <c r="G55" s="28" t="n">
        <v>109.9</v>
      </c>
      <c r="H55" s="29">
        <f>$G$17</f>
        <v/>
      </c>
      <c r="I55" s="28">
        <f>IF(F55=0,0,G55*$G$17/100)</f>
        <v/>
      </c>
      <c r="J55" s="30">
        <f>IF(F55=0,0,G55-I55)</f>
        <v/>
      </c>
      <c r="K55" s="31">
        <f>SUM(J55*F55)</f>
        <v/>
      </c>
    </row>
    <row r="56" ht="14.25" customHeight="1" s="71">
      <c r="A56" s="26" t="inlineStr">
        <is>
          <t>NYER26025</t>
        </is>
      </c>
      <c r="B56" s="26" t="n">
        <v>12</v>
      </c>
      <c r="C56" s="26" t="inlineStr">
        <is>
          <t>MULTIVITAMINICO 60CAP</t>
        </is>
      </c>
      <c r="D56" s="26" t="inlineStr">
        <is>
          <t>VITAMINAS</t>
        </is>
      </c>
      <c r="E56" s="26" t="inlineStr">
        <is>
          <t>Nao Proteico</t>
        </is>
      </c>
      <c r="F56" s="91" t="n">
        <v>15</v>
      </c>
      <c r="G56" s="28" t="n">
        <v>69.90000000000001</v>
      </c>
      <c r="H56" s="29">
        <f>$G$17</f>
        <v/>
      </c>
      <c r="I56" s="28">
        <f>IF(F56=0,0,G56*$G$17/100)</f>
        <v/>
      </c>
      <c r="J56" s="30">
        <f>IF(F56=0,0,G56-I56)</f>
        <v/>
      </c>
      <c r="K56" s="31">
        <f>SUM(J56*F56)</f>
        <v/>
      </c>
    </row>
    <row r="57" ht="14.25" customHeight="1" s="71">
      <c r="A57" s="26" t="inlineStr">
        <is>
          <t>NYER26060</t>
        </is>
      </c>
      <c r="B57" s="26" t="n">
        <v>12</v>
      </c>
      <c r="C57" s="26" t="inlineStr">
        <is>
          <t>MAGNESIO E INOSITOL 250G</t>
        </is>
      </c>
      <c r="D57" s="26" t="inlineStr">
        <is>
          <t>VITAMINAS</t>
        </is>
      </c>
      <c r="E57" s="26" t="inlineStr">
        <is>
          <t>Nao Proteico</t>
        </is>
      </c>
      <c r="F57" s="91" t="n">
        <v>10</v>
      </c>
      <c r="G57" s="28" t="n">
        <v>109.9</v>
      </c>
      <c r="H57" s="29">
        <f>$G$17</f>
        <v/>
      </c>
      <c r="I57" s="28">
        <f>IF(F57=0,0,G57*$G$17/100)</f>
        <v/>
      </c>
      <c r="J57" s="30">
        <f>IF(F57=0,0,G57-I57)</f>
        <v/>
      </c>
      <c r="K57" s="31">
        <f>SUM(J57*F57)</f>
        <v/>
      </c>
    </row>
    <row r="58" ht="14.25" customHeight="1" s="71">
      <c r="A58" s="26" t="inlineStr">
        <is>
          <t>ACC001</t>
        </is>
      </c>
      <c r="B58" s="26" t="n">
        <v>12</v>
      </c>
      <c r="C58" s="26" t="inlineStr">
        <is>
          <t>CAMISETA NYER PRETA</t>
        </is>
      </c>
      <c r="D58" s="26" t="inlineStr">
        <is>
          <t>ACESSORIOS</t>
        </is>
      </c>
      <c r="E58" s="26" t="inlineStr">
        <is>
          <t>Nao Proteico</t>
        </is>
      </c>
      <c r="F58" s="91" t="n"/>
      <c r="G58" s="28" t="n">
        <v>110</v>
      </c>
      <c r="H58" s="29">
        <f>$G$17</f>
        <v/>
      </c>
      <c r="I58" s="28">
        <f>IF(F58=0,0,G58*$G$17/100)</f>
        <v/>
      </c>
      <c r="J58" s="30">
        <f>IF(F58=0,0,G58-I58)</f>
        <v/>
      </c>
      <c r="K58" s="31">
        <f>SUM(J58*F58)</f>
        <v/>
      </c>
    </row>
    <row r="59" ht="14.25" customHeight="1" s="71">
      <c r="A59" s="26" t="inlineStr">
        <is>
          <t>ACC002</t>
        </is>
      </c>
      <c r="B59" s="26" t="n">
        <v>12</v>
      </c>
      <c r="C59" s="26" t="inlineStr">
        <is>
          <t>CAMISETA NYER BRANCA</t>
        </is>
      </c>
      <c r="D59" s="26" t="inlineStr">
        <is>
          <t>ACESSORIOS</t>
        </is>
      </c>
      <c r="E59" s="26" t="inlineStr">
        <is>
          <t>Nao Proteico</t>
        </is>
      </c>
      <c r="F59" s="91" t="n"/>
      <c r="G59" s="28" t="n">
        <v>110</v>
      </c>
      <c r="H59" s="29">
        <f>$G$17</f>
        <v/>
      </c>
      <c r="I59" s="28">
        <f>IF(F59=0,0,G59*$G$17/100)</f>
        <v/>
      </c>
      <c r="J59" s="30">
        <f>IF(F59=0,0,G59-I59)</f>
        <v/>
      </c>
      <c r="K59" s="31">
        <f>SUM(J59*F59)</f>
        <v/>
      </c>
    </row>
    <row r="60" ht="14.25" customHeight="1" s="71">
      <c r="A60" s="26" t="inlineStr">
        <is>
          <t>ACC003</t>
        </is>
      </c>
      <c r="B60" s="26" t="n">
        <v>12</v>
      </c>
      <c r="C60" s="26" t="inlineStr">
        <is>
          <t>COQUETELEIRA NYER</t>
        </is>
      </c>
      <c r="D60" s="26" t="inlineStr">
        <is>
          <t>ACESSORIOS</t>
        </is>
      </c>
      <c r="E60" s="26" t="inlineStr">
        <is>
          <t>Nao Proteico</t>
        </is>
      </c>
      <c r="F60" s="91" t="n"/>
      <c r="G60" s="28" t="n">
        <v>39.9</v>
      </c>
      <c r="H60" s="29">
        <f>$G$17</f>
        <v/>
      </c>
      <c r="I60" s="28">
        <f>IF(F60=0,0,G60*$G$17/100)</f>
        <v/>
      </c>
      <c r="J60" s="30">
        <f>IF(F60=0,0,G60-I60)</f>
        <v/>
      </c>
      <c r="K60" s="31">
        <f>SUM(J60*F60)</f>
        <v/>
      </c>
    </row>
    <row r="61" ht="18" customHeight="1" s="71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</row>
    <row r="62" ht="14.25" customHeight="1" s="71">
      <c r="A62" s="92" t="inlineStr">
        <is>
          <t>CONDIÇÕES PARA DESCONTOS PROGRESSIVOS</t>
        </is>
      </c>
      <c r="J62" s="38" t="n"/>
      <c r="K62" s="38" t="n"/>
    </row>
    <row r="63" ht="18" customHeight="1" s="7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38" t="n"/>
      <c r="J63" s="38" t="n"/>
      <c r="K63" s="38" t="n"/>
    </row>
    <row r="64" ht="29.25" customHeight="1" s="71">
      <c r="A64" s="41" t="inlineStr">
        <is>
          <t>NÍVEL</t>
        </is>
      </c>
      <c r="B64" s="41" t="inlineStr">
        <is>
          <t>DESCONTO</t>
        </is>
      </c>
      <c r="C64" s="41" t="inlineStr">
        <is>
          <t>FATURAMENTO MÍNIMO</t>
        </is>
      </c>
      <c r="D64" s="41" t="inlineStr">
        <is>
          <t>% MIX NÃO PROTEICO</t>
        </is>
      </c>
      <c r="E64" s="41" t="inlineStr">
        <is>
          <t>PONTOS COMERCIAIS</t>
        </is>
      </c>
      <c r="F64" s="41" t="inlineStr">
        <is>
          <t>O QUE VOCÊ PRECISA FAZER</t>
        </is>
      </c>
      <c r="G64" s="74" t="n"/>
      <c r="H64" s="74" t="n"/>
      <c r="I64" s="75" t="n"/>
      <c r="J64" s="38" t="n"/>
      <c r="K64" s="38" t="n"/>
    </row>
    <row r="65" ht="47.25" customHeight="1" s="71">
      <c r="A65" s="43" t="inlineStr">
        <is>
          <t>1️⃣ BASE</t>
        </is>
      </c>
      <c r="B65" s="44" t="inlineStr">
        <is>
          <t>50%</t>
        </is>
      </c>
      <c r="C65" s="45" t="inlineStr">
        <is>
          <t>R$ 800+</t>
        </is>
      </c>
      <c r="D65" s="46" t="inlineStr">
        <is>
          <t>—</t>
        </is>
      </c>
      <c r="E65" s="45" t="inlineStr">
        <is>
          <t>50 pontos</t>
        </is>
      </c>
      <c r="F65" s="93" t="inlineStr">
        <is>
          <t>Pedido mínimo de R$ 800. Desconto automático.</t>
        </is>
      </c>
      <c r="G65" s="74" t="n"/>
      <c r="H65" s="74" t="n"/>
      <c r="I65" s="75" t="n"/>
      <c r="J65" s="38" t="n"/>
      <c r="K65" s="38" t="n"/>
    </row>
    <row r="66" ht="29.25" customHeight="1" s="71">
      <c r="A66" s="48" t="inlineStr">
        <is>
          <t>2️⃣ INTERMEDIÁRIO</t>
        </is>
      </c>
      <c r="B66" s="49" t="inlineStr">
        <is>
          <t>55%</t>
        </is>
      </c>
      <c r="C66" s="50" t="inlineStr">
        <is>
          <t>R$ 5.000+</t>
        </is>
      </c>
      <c r="D66" s="51" t="inlineStr">
        <is>
          <t>30%+</t>
        </is>
      </c>
      <c r="E66" s="50" t="inlineStr">
        <is>
          <t>55 pontos</t>
        </is>
      </c>
      <c r="F66" s="94" t="inlineStr">
        <is>
          <t>Atingir R$ 5 mil E incluir pelo menos 30% do faturamento em produtos não proteicos (creatina, pré-treino, termogênico, vitaminas, acessórios).</t>
        </is>
      </c>
      <c r="G66" s="74" t="n"/>
      <c r="H66" s="74" t="n"/>
      <c r="I66" s="75" t="n"/>
      <c r="J66" s="38" t="n"/>
      <c r="K66" s="38" t="n"/>
    </row>
    <row r="67" ht="34.5" customHeight="1" s="71">
      <c r="A67" s="53" t="inlineStr">
        <is>
          <t>3️⃣ AVANÇADO</t>
        </is>
      </c>
      <c r="B67" s="54" t="inlineStr">
        <is>
          <t>60%</t>
        </is>
      </c>
      <c r="C67" s="55" t="inlineStr">
        <is>
          <t>R$ 10.000+</t>
        </is>
      </c>
      <c r="D67" s="56" t="inlineStr">
        <is>
          <t>40%+</t>
        </is>
      </c>
      <c r="E67" s="55" t="inlineStr">
        <is>
          <t>60 pontos</t>
        </is>
      </c>
      <c r="F67" s="95" t="inlineStr">
        <is>
          <t>Atingir R$ 10 mil E incluir pelo menos 40% do faturamento em produtos não proteicos.</t>
        </is>
      </c>
      <c r="G67" s="74" t="n"/>
      <c r="H67" s="74" t="n"/>
      <c r="I67" s="75" t="n"/>
      <c r="J67" s="38" t="n"/>
      <c r="K67" s="38" t="n"/>
    </row>
    <row r="68" ht="33.75" customHeight="1" s="71">
      <c r="A68" s="58" t="inlineStr">
        <is>
          <t>4️⃣ PREMIUM</t>
        </is>
      </c>
      <c r="B68" s="59" t="inlineStr">
        <is>
          <t>65%</t>
        </is>
      </c>
      <c r="C68" s="60" t="inlineStr">
        <is>
          <t>R$ 20.000+</t>
        </is>
      </c>
      <c r="D68" s="61" t="inlineStr">
        <is>
          <t>50%+</t>
        </is>
      </c>
      <c r="E68" s="60" t="inlineStr">
        <is>
          <t>65 pontos</t>
        </is>
      </c>
      <c r="F68" s="96" t="inlineStr">
        <is>
          <t>Atingir R$ 20 mil E incluir pelo menos 50% do faturamento em produtos não proteicos.</t>
        </is>
      </c>
      <c r="G68" s="74" t="n"/>
      <c r="H68" s="74" t="n"/>
      <c r="I68" s="75" t="n"/>
      <c r="J68" s="38" t="n"/>
      <c r="K68" s="38" t="n"/>
    </row>
    <row r="69" ht="14.25" customHeight="1" s="71">
      <c r="A69" s="40" t="n"/>
      <c r="B69" s="40" t="n"/>
      <c r="C69" s="40" t="n"/>
      <c r="D69" s="40" t="n"/>
      <c r="E69" s="40" t="n"/>
      <c r="F69" s="40" t="n"/>
      <c r="G69" s="40" t="n"/>
      <c r="H69" s="40" t="n"/>
      <c r="I69" s="38" t="n"/>
      <c r="J69" s="38" t="n"/>
      <c r="K69" s="38" t="n"/>
    </row>
    <row r="70" ht="14.25" customHeight="1" s="71">
      <c r="A70" s="40" t="n"/>
      <c r="B70" s="40" t="n"/>
      <c r="C70" s="40" t="n"/>
      <c r="D70" s="40" t="n"/>
      <c r="E70" s="40" t="n"/>
      <c r="F70" s="40" t="n"/>
      <c r="G70" s="40" t="n"/>
      <c r="H70" s="40" t="n"/>
      <c r="I70" s="38" t="n"/>
      <c r="J70" s="38" t="n"/>
      <c r="K70" s="38" t="n"/>
    </row>
    <row r="71" ht="14.25" customHeight="1" s="71">
      <c r="A71" s="97" t="inlineStr">
        <is>
          <t>⚠️ IMPORTANTE:</t>
        </is>
      </c>
      <c r="B71" s="74" t="n"/>
      <c r="C71" s="74" t="n"/>
      <c r="D71" s="74" t="n"/>
      <c r="E71" s="74" t="n"/>
      <c r="F71" s="74" t="n"/>
      <c r="G71" s="74" t="n"/>
      <c r="H71" s="75" t="n"/>
      <c r="I71" s="38" t="n"/>
      <c r="J71" s="38" t="n"/>
      <c r="K71" s="38" t="n"/>
    </row>
    <row r="72" ht="14.25" customHeight="1" s="71">
      <c r="A72" s="98" t="inlineStr">
        <is>
          <t>• O MIX NÃO PROTEICO é calculado sobre o FATURAMENTO total (em R$), não sobre quantidade de itens.</t>
        </is>
      </c>
      <c r="B72" s="74" t="n"/>
      <c r="C72" s="74" t="n"/>
      <c r="D72" s="74" t="n"/>
      <c r="E72" s="74" t="n"/>
      <c r="F72" s="74" t="n"/>
      <c r="G72" s="74" t="n"/>
      <c r="H72" s="75" t="n"/>
      <c r="I72" s="38" t="n"/>
      <c r="J72" s="38" t="n"/>
      <c r="K72" s="38" t="n"/>
    </row>
    <row r="73" ht="14.25" customHeight="1" s="71">
      <c r="A73" s="98" t="inlineStr">
        <is>
          <t>• Os descontos são PROGRESSIVOS: ao atingir cada patamar, o desconto automático aumenta em 5% (ou 10%, ou 15%).</t>
        </is>
      </c>
      <c r="B73" s="74" t="n"/>
      <c r="C73" s="74" t="n"/>
      <c r="D73" s="74" t="n"/>
      <c r="E73" s="74" t="n"/>
      <c r="F73" s="74" t="n"/>
      <c r="G73" s="74" t="n"/>
      <c r="H73" s="75" t="n"/>
      <c r="I73" s="38" t="n"/>
      <c r="J73" s="38" t="n"/>
      <c r="K73" s="38" t="n"/>
    </row>
    <row r="74" ht="14.25" customHeight="1" s="71">
      <c r="A74" s="98" t="inlineStr">
        <is>
          <t>• Exemplo: Se você comprar R$ 15 mil com 42% de mix, ativa o desconto de 60% (patamar 3) porque atende R$10k+ e 40%+ mix.</t>
        </is>
      </c>
      <c r="B74" s="74" t="n"/>
      <c r="C74" s="74" t="n"/>
      <c r="D74" s="74" t="n"/>
      <c r="E74" s="74" t="n"/>
      <c r="F74" s="74" t="n"/>
      <c r="G74" s="74" t="n"/>
      <c r="H74" s="75" t="n"/>
      <c r="I74" s="38" t="n"/>
      <c r="J74" s="38" t="n"/>
      <c r="K74" s="38" t="n"/>
    </row>
    <row r="75" ht="14.25" customHeight="1" s="71"/>
    <row r="76" ht="14.25" customHeight="1" s="71"/>
    <row r="77" ht="14.25" customHeight="1" s="71">
      <c r="A77" s="99" t="inlineStr">
        <is>
          <t xml:space="preserve">CONDIÇÕES BOLETOS </t>
        </is>
      </c>
      <c r="B77" s="74" t="n"/>
      <c r="C77" s="74" t="n"/>
      <c r="D77" s="74" t="n"/>
      <c r="E77" s="74" t="n"/>
      <c r="F77" s="74" t="n"/>
      <c r="G77" s="74" t="n"/>
      <c r="H77" s="75" t="n"/>
    </row>
    <row r="78" ht="14.25" customHeight="1" s="71">
      <c r="A78" s="100" t="inlineStr">
        <is>
          <t>28D FOB</t>
        </is>
      </c>
      <c r="B78" s="74" t="n"/>
      <c r="C78" s="74" t="n"/>
      <c r="D78" s="74" t="n"/>
      <c r="E78" s="74" t="n"/>
      <c r="F78" s="74" t="n"/>
      <c r="G78" s="74" t="n"/>
      <c r="H78" s="75" t="n"/>
    </row>
    <row r="79" ht="14.25" customHeight="1" s="71">
      <c r="A79" s="100" t="inlineStr">
        <is>
          <t>28D/35D FOB</t>
        </is>
      </c>
      <c r="B79" s="74" t="n"/>
      <c r="C79" s="74" t="n"/>
      <c r="D79" s="74" t="n"/>
      <c r="E79" s="74" t="n"/>
      <c r="F79" s="74" t="n"/>
      <c r="G79" s="74" t="n"/>
      <c r="H79" s="75" t="n"/>
    </row>
    <row r="80" ht="14.25" customHeight="1" s="71">
      <c r="A80" s="101" t="inlineStr">
        <is>
          <t xml:space="preserve">28D/35D/42D CIF </t>
        </is>
      </c>
      <c r="B80" s="74" t="n"/>
      <c r="C80" s="74" t="n"/>
      <c r="D80" s="74" t="n"/>
      <c r="E80" s="74" t="n"/>
      <c r="F80" s="74" t="n"/>
      <c r="G80" s="74" t="n"/>
      <c r="H80" s="75" t="n"/>
    </row>
    <row r="81" ht="14.25" customHeight="1" s="71">
      <c r="A81" s="101" t="inlineStr">
        <is>
          <t xml:space="preserve">28D/35D/42D/49D CIF </t>
        </is>
      </c>
      <c r="B81" s="74" t="n"/>
      <c r="C81" s="74" t="n"/>
      <c r="D81" s="74" t="n"/>
      <c r="E81" s="74" t="n"/>
      <c r="F81" s="74" t="n"/>
      <c r="G81" s="74" t="n"/>
      <c r="H81" s="75" t="n"/>
    </row>
    <row r="82" ht="14.25" customHeight="1" s="71">
      <c r="A82" s="102" t="inlineStr">
        <is>
          <t xml:space="preserve">28D/35D/42D/49D/56D CIF </t>
        </is>
      </c>
      <c r="B82" s="74" t="n"/>
      <c r="C82" s="74" t="n"/>
      <c r="D82" s="74" t="n"/>
      <c r="E82" s="74" t="n"/>
      <c r="F82" s="74" t="n"/>
      <c r="G82" s="74" t="n"/>
      <c r="H82" s="75" t="n"/>
    </row>
    <row r="83" ht="14.25" customHeight="1" s="71">
      <c r="A83" s="102" t="inlineStr">
        <is>
          <t>28D/35D/42D/49D/56D/63D CIF</t>
        </is>
      </c>
      <c r="B83" s="74" t="n"/>
      <c r="C83" s="74" t="n"/>
      <c r="D83" s="74" t="n"/>
      <c r="E83" s="74" t="n"/>
      <c r="F83" s="74" t="n"/>
      <c r="G83" s="74" t="n"/>
      <c r="H83" s="75" t="n"/>
    </row>
    <row r="84" ht="14.25" customHeight="1" s="71">
      <c r="A84" s="103" t="inlineStr">
        <is>
          <t>28D/35D/42D/49D/56D/63D/70D CIF</t>
        </is>
      </c>
      <c r="B84" s="74" t="n"/>
      <c r="C84" s="74" t="n"/>
      <c r="D84" s="74" t="n"/>
      <c r="E84" s="74" t="n"/>
      <c r="F84" s="74" t="n"/>
      <c r="G84" s="74" t="n"/>
      <c r="H84" s="75" t="n"/>
    </row>
    <row r="85" ht="14.25" customHeight="1" s="71">
      <c r="A85" s="103" t="inlineStr">
        <is>
          <t>28D/35D/42D/49D/56D/63D/70D/77D/84D CIF</t>
        </is>
      </c>
      <c r="B85" s="74" t="n"/>
      <c r="C85" s="74" t="n"/>
      <c r="D85" s="74" t="n"/>
      <c r="E85" s="74" t="n"/>
      <c r="F85" s="74" t="n"/>
      <c r="G85" s="74" t="n"/>
      <c r="H85" s="75" t="n"/>
    </row>
    <row r="86" ht="14.25" customHeight="1" s="71">
      <c r="A86" s="103" t="inlineStr">
        <is>
          <t>28D/35D/42D/49D/56D/63D/70D/77D/84D/93D CIF</t>
        </is>
      </c>
      <c r="B86" s="74" t="n"/>
      <c r="C86" s="74" t="n"/>
      <c r="D86" s="74" t="n"/>
      <c r="E86" s="74" t="n"/>
      <c r="F86" s="74" t="n"/>
      <c r="G86" s="74" t="n"/>
      <c r="H86" s="75" t="n"/>
    </row>
    <row r="87" ht="14.25" customHeight="1" s="71"/>
    <row r="88" ht="14.25" customHeight="1" s="71">
      <c r="A88" s="99" t="inlineStr">
        <is>
          <t>CARTÃO</t>
        </is>
      </c>
      <c r="B88" s="74" t="n"/>
      <c r="C88" s="74" t="n"/>
      <c r="D88" s="74" t="n"/>
      <c r="E88" s="74" t="n"/>
      <c r="F88" s="74" t="n"/>
      <c r="G88" s="74" t="n"/>
      <c r="H88" s="75" t="n"/>
    </row>
    <row r="89" ht="14.25" customHeight="1" s="71">
      <c r="A89" s="100" t="inlineStr">
        <is>
          <t xml:space="preserve">R$800-R$5000 até 3x </t>
        </is>
      </c>
      <c r="B89" s="74" t="n"/>
      <c r="C89" s="74" t="n"/>
      <c r="D89" s="74" t="n"/>
      <c r="E89" s="74" t="n"/>
      <c r="F89" s="74" t="n"/>
      <c r="G89" s="74" t="n"/>
      <c r="H89" s="75" t="n"/>
    </row>
    <row r="90" ht="14.25" customHeight="1" s="71">
      <c r="A90" s="100" t="inlineStr">
        <is>
          <t xml:space="preserve">R$5k-R$10k até 4x </t>
        </is>
      </c>
      <c r="B90" s="74" t="n"/>
      <c r="C90" s="74" t="n"/>
      <c r="D90" s="74" t="n"/>
      <c r="E90" s="74" t="n"/>
      <c r="F90" s="74" t="n"/>
      <c r="G90" s="74" t="n"/>
      <c r="H90" s="75" t="n"/>
    </row>
    <row r="91" ht="14.25" customHeight="1" s="71">
      <c r="A91" s="101" t="inlineStr">
        <is>
          <t xml:space="preserve">10k-20k 5x </t>
        </is>
      </c>
      <c r="B91" s="74" t="n"/>
      <c r="C91" s="74" t="n"/>
      <c r="D91" s="74" t="n"/>
      <c r="E91" s="74" t="n"/>
      <c r="F91" s="74" t="n"/>
      <c r="G91" s="74" t="n"/>
      <c r="H91" s="75" t="n"/>
    </row>
    <row r="92" ht="14.25" customHeight="1" s="71">
      <c r="A92" s="101" t="inlineStr">
        <is>
          <t xml:space="preserve">20k-50k 6x </t>
        </is>
      </c>
      <c r="B92" s="74" t="n"/>
      <c r="C92" s="74" t="n"/>
      <c r="D92" s="74" t="n"/>
      <c r="E92" s="74" t="n"/>
      <c r="F92" s="74" t="n"/>
      <c r="G92" s="74" t="n"/>
      <c r="H92" s="75" t="n"/>
    </row>
    <row r="93" ht="14.25" customHeight="1" s="71">
      <c r="A93" s="102" t="inlineStr">
        <is>
          <t>50-100k 10x sem juros</t>
        </is>
      </c>
      <c r="B93" s="74" t="n"/>
      <c r="C93" s="74" t="n"/>
      <c r="D93" s="74" t="n"/>
      <c r="E93" s="74" t="n"/>
      <c r="F93" s="74" t="n"/>
      <c r="G93" s="74" t="n"/>
      <c r="H93" s="75" t="n"/>
    </row>
    <row r="94" ht="14.25" customHeight="1" s="71">
      <c r="A94" s="104" t="n"/>
      <c r="B94" s="74" t="n"/>
      <c r="C94" s="74" t="n"/>
      <c r="D94" s="74" t="n"/>
      <c r="E94" s="74" t="n"/>
      <c r="F94" s="74" t="n"/>
      <c r="G94" s="74" t="n"/>
      <c r="H94" s="75" t="n"/>
    </row>
    <row r="95" ht="14.25" customHeight="1" s="71"/>
    <row r="96" ht="14.25" customHeight="1" s="71"/>
    <row r="97" ht="14.25" customHeight="1" s="71"/>
    <row r="98" ht="14.25" customHeight="1" s="71"/>
    <row r="99" ht="14.25" customHeight="1" s="71"/>
    <row r="100" ht="14.25" customHeight="1" s="71"/>
    <row r="101" ht="14.25" customHeight="1" s="71"/>
    <row r="102" ht="14.25" customHeight="1" s="71"/>
    <row r="103" ht="14.25" customHeight="1" s="71"/>
    <row r="104" ht="14.25" customHeight="1" s="71"/>
    <row r="105" ht="14.25" customHeight="1" s="71"/>
    <row r="106" ht="14.25" customHeight="1" s="71"/>
    <row r="107" ht="14.25" customHeight="1" s="71"/>
    <row r="108" ht="14.25" customHeight="1" s="71"/>
    <row r="109" ht="14.25" customHeight="1" s="71"/>
    <row r="110" ht="14.25" customHeight="1" s="71"/>
    <row r="111" ht="14.25" customHeight="1" s="71"/>
    <row r="112" ht="14.25" customHeight="1" s="71"/>
    <row r="113" ht="14.25" customHeight="1" s="71"/>
    <row r="114" ht="14.25" customHeight="1" s="71"/>
    <row r="115" ht="14.25" customHeight="1" s="71"/>
    <row r="116" ht="14.25" customHeight="1" s="71"/>
    <row r="117" ht="14.25" customHeight="1" s="71"/>
    <row r="118" ht="14.25" customHeight="1" s="71"/>
    <row r="119" ht="14.25" customHeight="1" s="71"/>
    <row r="120" ht="14.25" customHeight="1" s="71"/>
    <row r="121" ht="14.25" customHeight="1" s="71"/>
    <row r="122" ht="14.25" customHeight="1" s="71"/>
    <row r="123" ht="14.25" customHeight="1" s="71"/>
    <row r="124" ht="14.25" customHeight="1" s="71"/>
    <row r="125" ht="14.25" customHeight="1" s="71"/>
    <row r="126" ht="14.25" customHeight="1" s="71"/>
    <row r="127" ht="14.25" customHeight="1" s="71"/>
    <row r="128" ht="14.25" customHeight="1" s="71"/>
    <row r="129" ht="14.25" customHeight="1" s="71"/>
    <row r="130" ht="14.25" customHeight="1" s="71"/>
    <row r="131" ht="14.25" customHeight="1" s="71"/>
    <row r="132" ht="14.25" customHeight="1" s="71"/>
    <row r="133" ht="14.25" customHeight="1" s="71"/>
    <row r="134" ht="14.25" customHeight="1" s="71"/>
    <row r="135" ht="14.25" customHeight="1" s="71"/>
    <row r="136" ht="14.25" customHeight="1" s="71"/>
    <row r="137" ht="14.25" customHeight="1" s="71"/>
    <row r="138" ht="14.25" customHeight="1" s="71"/>
    <row r="139" ht="14.25" customHeight="1" s="71"/>
    <row r="140" ht="14.25" customHeight="1" s="71"/>
    <row r="141" ht="14.25" customHeight="1" s="71"/>
    <row r="142" ht="14.25" customHeight="1" s="71"/>
    <row r="143" ht="14.25" customHeight="1" s="71"/>
    <row r="144" ht="14.25" customHeight="1" s="71"/>
    <row r="145" ht="14.25" customHeight="1" s="71"/>
    <row r="146" ht="14.25" customHeight="1" s="71"/>
    <row r="147" ht="14.25" customHeight="1" s="71"/>
    <row r="148" ht="14.25" customHeight="1" s="71"/>
    <row r="149" ht="14.25" customHeight="1" s="71"/>
    <row r="150" ht="14.25" customHeight="1" s="71"/>
    <row r="151" ht="14.25" customHeight="1" s="71"/>
    <row r="152" ht="14.25" customHeight="1" s="71"/>
    <row r="153" ht="14.25" customHeight="1" s="71"/>
    <row r="154" ht="14.25" customHeight="1" s="71"/>
    <row r="155" ht="14.25" customHeight="1" s="71"/>
    <row r="156" ht="14.25" customHeight="1" s="71"/>
    <row r="157" ht="14.25" customHeight="1" s="71"/>
    <row r="158" ht="14.25" customHeight="1" s="71"/>
    <row r="159" ht="14.25" customHeight="1" s="71"/>
    <row r="160" ht="14.25" customHeight="1" s="71"/>
    <row r="161" ht="14.25" customHeight="1" s="71"/>
    <row r="162" ht="14.25" customHeight="1" s="71"/>
    <row r="163" ht="14.25" customHeight="1" s="71"/>
    <row r="164" ht="14.25" customHeight="1" s="71"/>
    <row r="165" ht="14.25" customHeight="1" s="71"/>
    <row r="166" ht="14.25" customHeight="1" s="71"/>
    <row r="167" ht="14.25" customHeight="1" s="71"/>
    <row r="168" ht="14.25" customHeight="1" s="71"/>
    <row r="169" ht="14.25" customHeight="1" s="71"/>
    <row r="170" ht="14.25" customHeight="1" s="71"/>
    <row r="171" ht="14.25" customHeight="1" s="71"/>
    <row r="172" ht="14.25" customHeight="1" s="71"/>
    <row r="173" ht="14.25" customHeight="1" s="71"/>
    <row r="174" ht="14.25" customHeight="1" s="71"/>
    <row r="175" ht="14.25" customHeight="1" s="71"/>
    <row r="176" ht="14.25" customHeight="1" s="71"/>
    <row r="177" ht="14.25" customHeight="1" s="71"/>
    <row r="178" ht="14.25" customHeight="1" s="71"/>
    <row r="179" ht="14.25" customHeight="1" s="71"/>
    <row r="180" ht="14.25" customHeight="1" s="71"/>
    <row r="181" ht="14.25" customHeight="1" s="71"/>
    <row r="182" ht="14.25" customHeight="1" s="71"/>
    <row r="183" ht="14.25" customHeight="1" s="71"/>
    <row r="184" ht="14.25" customHeight="1" s="71"/>
    <row r="185" ht="14.25" customHeight="1" s="71"/>
    <row r="186" ht="14.25" customHeight="1" s="71"/>
    <row r="187" ht="14.25" customHeight="1" s="71"/>
    <row r="188" ht="14.25" customHeight="1" s="71"/>
    <row r="189" ht="14.25" customHeight="1" s="71"/>
    <row r="190" ht="14.25" customHeight="1" s="71"/>
    <row r="191" ht="14.25" customHeight="1" s="71"/>
    <row r="192" ht="14.25" customHeight="1" s="71"/>
    <row r="193" ht="14.25" customHeight="1" s="71"/>
    <row r="194" ht="14.25" customHeight="1" s="71"/>
    <row r="195" ht="14.25" customHeight="1" s="71"/>
    <row r="196" ht="14.25" customHeight="1" s="71"/>
    <row r="197" ht="14.25" customHeight="1" s="71"/>
    <row r="198" ht="14.25" customHeight="1" s="71"/>
    <row r="199" ht="14.25" customHeight="1" s="71"/>
    <row r="200" ht="14.25" customHeight="1" s="71"/>
    <row r="201" ht="14.25" customHeight="1" s="71"/>
    <row r="202" ht="14.25" customHeight="1" s="71"/>
    <row r="203" ht="14.25" customHeight="1" s="71"/>
    <row r="204" ht="14.25" customHeight="1" s="71"/>
    <row r="205" ht="14.25" customHeight="1" s="71"/>
    <row r="206" ht="14.25" customHeight="1" s="71"/>
    <row r="207" ht="14.25" customHeight="1" s="71"/>
    <row r="208" ht="14.25" customHeight="1" s="71"/>
    <row r="209" ht="14.25" customHeight="1" s="71"/>
    <row r="210" ht="14.25" customHeight="1" s="71"/>
    <row r="211" ht="14.25" customHeight="1" s="71"/>
    <row r="212" ht="14.25" customHeight="1" s="71"/>
    <row r="213" ht="14.25" customHeight="1" s="71"/>
    <row r="214" ht="14.25" customHeight="1" s="71"/>
    <row r="215" ht="14.25" customHeight="1" s="71"/>
    <row r="216" ht="14.25" customHeight="1" s="71"/>
    <row r="217" ht="14.25" customHeight="1" s="71"/>
    <row r="218" ht="14.25" customHeight="1" s="71"/>
    <row r="219" ht="14.25" customHeight="1" s="71"/>
    <row r="220" ht="14.25" customHeight="1" s="71"/>
    <row r="221" ht="14.25" customHeight="1" s="71"/>
    <row r="222" ht="14.25" customHeight="1" s="71"/>
    <row r="223" ht="14.25" customHeight="1" s="71"/>
    <row r="224" ht="14.25" customHeight="1" s="71"/>
    <row r="225" ht="14.25" customHeight="1" s="71"/>
    <row r="226" ht="14.25" customHeight="1" s="71"/>
    <row r="227" ht="14.25" customHeight="1" s="71"/>
    <row r="228" ht="14.25" customHeight="1" s="71"/>
    <row r="229" ht="14.25" customHeight="1" s="71"/>
    <row r="230" ht="14.25" customHeight="1" s="71"/>
    <row r="231" ht="14.25" customHeight="1" s="71"/>
    <row r="232" ht="14.25" customHeight="1" s="71"/>
    <row r="233" ht="14.25" customHeight="1" s="71"/>
    <row r="234" ht="14.25" customHeight="1" s="71"/>
    <row r="235" ht="14.25" customHeight="1" s="71"/>
    <row r="236" ht="14.25" customHeight="1" s="71"/>
    <row r="237" ht="14.25" customHeight="1" s="71"/>
    <row r="238" ht="14.25" customHeight="1" s="71"/>
    <row r="239" ht="14.25" customHeight="1" s="71"/>
    <row r="240" ht="14.25" customHeight="1" s="71"/>
    <row r="241" ht="14.25" customHeight="1" s="71"/>
    <row r="242" ht="14.25" customHeight="1" s="71"/>
    <row r="243" ht="14.25" customHeight="1" s="71"/>
    <row r="244" ht="14.25" customHeight="1" s="71"/>
    <row r="245" ht="14.25" customHeight="1" s="71"/>
    <row r="246" ht="14.25" customHeight="1" s="71"/>
    <row r="247" ht="14.25" customHeight="1" s="71"/>
    <row r="248" ht="14.25" customHeight="1" s="71"/>
    <row r="249" ht="14.25" customHeight="1" s="71"/>
    <row r="250" ht="14.25" customHeight="1" s="71"/>
    <row r="251" ht="14.25" customHeight="1" s="71"/>
    <row r="252" ht="14.25" customHeight="1" s="71"/>
    <row r="253" ht="14.25" customHeight="1" s="71"/>
    <row r="254" ht="14.25" customHeight="1" s="71"/>
    <row r="255" ht="14.25" customHeight="1" s="71"/>
    <row r="256" ht="14.25" customHeight="1" s="71"/>
    <row r="257" ht="14.25" customHeight="1" s="71"/>
    <row r="258" ht="14.25" customHeight="1" s="71"/>
    <row r="259" ht="14.25" customHeight="1" s="71"/>
    <row r="260" ht="14.25" customHeight="1" s="71"/>
    <row r="261" ht="14.25" customHeight="1" s="71"/>
    <row r="262" ht="14.25" customHeight="1" s="71"/>
    <row r="263" ht="14.25" customHeight="1" s="71"/>
    <row r="264" ht="14.25" customHeight="1" s="71"/>
    <row r="265" ht="14.25" customHeight="1" s="71"/>
    <row r="266" ht="14.25" customHeight="1" s="71"/>
    <row r="267" ht="14.25" customHeight="1" s="71"/>
    <row r="268" ht="14.25" customHeight="1" s="71"/>
    <row r="269" ht="14.25" customHeight="1" s="71"/>
    <row r="270" ht="14.25" customHeight="1" s="71"/>
    <row r="271" ht="14.25" customHeight="1" s="71"/>
    <row r="272" ht="14.25" customHeight="1" s="71"/>
    <row r="273" ht="14.25" customHeight="1" s="71"/>
    <row r="274" ht="14.25" customHeight="1" s="71"/>
    <row r="275" ht="14.25" customHeight="1" s="71"/>
    <row r="276" ht="14.25" customHeight="1" s="71"/>
    <row r="277" ht="14.25" customHeight="1" s="71"/>
    <row r="278" ht="14.25" customHeight="1" s="71"/>
    <row r="279" ht="14.25" customHeight="1" s="71"/>
    <row r="280" ht="14.25" customHeight="1" s="71"/>
    <row r="281" ht="14.25" customHeight="1" s="71"/>
    <row r="282" ht="14.25" customHeight="1" s="71"/>
    <row r="283" ht="14.25" customHeight="1" s="71"/>
    <row r="284" ht="14.25" customHeight="1" s="71"/>
    <row r="285" ht="14.25" customHeight="1" s="71"/>
    <row r="286" ht="14.25" customHeight="1" s="71"/>
    <row r="287" ht="14.25" customHeight="1" s="71"/>
    <row r="288" ht="14.25" customHeight="1" s="71"/>
    <row r="289" ht="14.25" customHeight="1" s="71"/>
    <row r="290" ht="14.25" customHeight="1" s="71"/>
    <row r="291" ht="14.25" customHeight="1" s="71"/>
    <row r="292" ht="14.25" customHeight="1" s="71"/>
    <row r="293" ht="14.25" customHeight="1" s="71"/>
    <row r="294" ht="14.25" customHeight="1" s="71"/>
    <row r="295" ht="14.25" customHeight="1" s="71"/>
    <row r="296" ht="14.25" customHeight="1" s="71"/>
    <row r="297" ht="14.25" customHeight="1" s="71"/>
    <row r="298" ht="14.25" customHeight="1" s="71"/>
    <row r="299" ht="14.25" customHeight="1" s="71"/>
    <row r="300" ht="14.25" customHeight="1" s="71"/>
    <row r="301" ht="14.25" customHeight="1" s="71"/>
    <row r="302" ht="14.25" customHeight="1" s="71"/>
    <row r="303" ht="14.25" customHeight="1" s="71"/>
    <row r="304" ht="14.25" customHeight="1" s="71"/>
    <row r="305" ht="14.25" customHeight="1" s="71"/>
    <row r="306" ht="14.25" customHeight="1" s="71"/>
    <row r="307" ht="14.25" customHeight="1" s="71"/>
    <row r="308" ht="14.25" customHeight="1" s="71"/>
    <row r="309" ht="14.25" customHeight="1" s="71"/>
    <row r="310" ht="14.25" customHeight="1" s="71"/>
    <row r="311" ht="14.25" customHeight="1" s="71"/>
    <row r="312" ht="14.25" customHeight="1" s="71"/>
    <row r="313" ht="14.25" customHeight="1" s="71"/>
    <row r="314" ht="14.25" customHeight="1" s="71"/>
    <row r="315" ht="14.25" customHeight="1" s="71"/>
    <row r="316" ht="14.25" customHeight="1" s="71"/>
    <row r="317" ht="14.25" customHeight="1" s="71"/>
    <row r="318" ht="14.25" customHeight="1" s="71"/>
    <row r="319" ht="14.25" customHeight="1" s="71"/>
    <row r="320" ht="14.25" customHeight="1" s="71"/>
    <row r="321" ht="14.25" customHeight="1" s="71"/>
    <row r="322" ht="14.25" customHeight="1" s="71"/>
    <row r="323" ht="14.25" customHeight="1" s="71"/>
    <row r="324" ht="14.25" customHeight="1" s="71"/>
    <row r="325" ht="14.25" customHeight="1" s="71"/>
    <row r="326" ht="14.25" customHeight="1" s="71"/>
    <row r="327" ht="14.25" customHeight="1" s="71"/>
    <row r="328" ht="14.25" customHeight="1" s="71"/>
    <row r="329" ht="14.25" customHeight="1" s="71"/>
    <row r="330" ht="14.25" customHeight="1" s="71"/>
    <row r="331" ht="14.25" customHeight="1" s="71"/>
    <row r="332" ht="14.25" customHeight="1" s="71"/>
    <row r="333" ht="14.25" customHeight="1" s="71"/>
    <row r="334" ht="14.25" customHeight="1" s="71"/>
    <row r="335" ht="14.25" customHeight="1" s="71"/>
    <row r="336" ht="14.25" customHeight="1" s="71"/>
    <row r="337" ht="14.25" customHeight="1" s="71"/>
    <row r="338" ht="14.25" customHeight="1" s="71"/>
    <row r="339" ht="14.25" customHeight="1" s="71"/>
    <row r="340" ht="14.25" customHeight="1" s="71"/>
    <row r="341" ht="14.25" customHeight="1" s="71"/>
    <row r="342" ht="14.25" customHeight="1" s="71"/>
    <row r="343" ht="14.25" customHeight="1" s="71"/>
    <row r="344" ht="14.25" customHeight="1" s="71"/>
    <row r="345" ht="14.25" customHeight="1" s="71"/>
    <row r="346" ht="14.25" customHeight="1" s="71"/>
    <row r="347" ht="14.25" customHeight="1" s="71"/>
    <row r="348" ht="14.25" customHeight="1" s="71"/>
    <row r="349" ht="14.25" customHeight="1" s="71"/>
    <row r="350" ht="14.25" customHeight="1" s="71"/>
    <row r="351" ht="14.25" customHeight="1" s="71"/>
    <row r="352" ht="14.25" customHeight="1" s="71"/>
    <row r="353" ht="14.25" customHeight="1" s="71"/>
    <row r="354" ht="14.25" customHeight="1" s="71"/>
    <row r="355" ht="14.25" customHeight="1" s="71"/>
    <row r="356" ht="14.25" customHeight="1" s="71"/>
    <row r="357" ht="14.25" customHeight="1" s="71"/>
    <row r="358" ht="14.25" customHeight="1" s="71"/>
    <row r="359" ht="14.25" customHeight="1" s="71"/>
    <row r="360" ht="14.25" customHeight="1" s="71"/>
    <row r="361" ht="14.25" customHeight="1" s="71"/>
    <row r="362" ht="14.25" customHeight="1" s="71"/>
    <row r="363" ht="14.25" customHeight="1" s="71"/>
    <row r="364" ht="14.25" customHeight="1" s="71"/>
    <row r="365" ht="14.25" customHeight="1" s="71"/>
    <row r="366" ht="14.25" customHeight="1" s="71"/>
    <row r="367" ht="14.25" customHeight="1" s="71"/>
    <row r="368" ht="14.25" customHeight="1" s="71"/>
    <row r="369" ht="14.25" customHeight="1" s="71"/>
    <row r="370" ht="14.25" customHeight="1" s="71"/>
    <row r="371" ht="14.25" customHeight="1" s="71"/>
    <row r="372" ht="14.25" customHeight="1" s="71"/>
    <row r="373" ht="14.25" customHeight="1" s="71"/>
    <row r="374" ht="14.25" customHeight="1" s="71"/>
    <row r="375" ht="14.25" customHeight="1" s="71"/>
    <row r="376" ht="14.25" customHeight="1" s="71"/>
    <row r="377" ht="14.25" customHeight="1" s="71"/>
    <row r="378" ht="14.25" customHeight="1" s="71"/>
    <row r="379" ht="14.25" customHeight="1" s="71"/>
    <row r="380" ht="14.25" customHeight="1" s="71"/>
    <row r="381" ht="14.25" customHeight="1" s="71"/>
    <row r="382" ht="14.25" customHeight="1" s="71"/>
    <row r="383" ht="14.25" customHeight="1" s="71"/>
    <row r="384" ht="14.25" customHeight="1" s="71"/>
    <row r="385" ht="14.25" customHeight="1" s="71"/>
    <row r="386" ht="14.25" customHeight="1" s="71"/>
    <row r="387" ht="14.25" customHeight="1" s="71"/>
    <row r="388" ht="14.25" customHeight="1" s="71"/>
    <row r="389" ht="14.25" customHeight="1" s="71"/>
    <row r="390" ht="14.25" customHeight="1" s="71"/>
    <row r="391" ht="14.25" customHeight="1" s="71"/>
    <row r="392" ht="14.25" customHeight="1" s="71"/>
    <row r="393" ht="14.25" customHeight="1" s="71"/>
    <row r="394" ht="14.25" customHeight="1" s="71"/>
    <row r="395" ht="14.25" customHeight="1" s="71"/>
    <row r="396" ht="14.25" customHeight="1" s="71"/>
    <row r="397" ht="14.25" customHeight="1" s="71"/>
    <row r="398" ht="14.25" customHeight="1" s="71"/>
    <row r="399" ht="14.25" customHeight="1" s="71"/>
    <row r="400" ht="14.25" customHeight="1" s="71"/>
    <row r="401" ht="14.25" customHeight="1" s="71"/>
    <row r="402" ht="14.25" customHeight="1" s="71"/>
    <row r="403" ht="14.25" customHeight="1" s="71"/>
    <row r="404" ht="14.25" customHeight="1" s="71"/>
    <row r="405" ht="14.25" customHeight="1" s="71"/>
    <row r="406" ht="14.25" customHeight="1" s="71"/>
    <row r="407" ht="14.25" customHeight="1" s="71"/>
    <row r="408" ht="14.25" customHeight="1" s="71"/>
    <row r="409" ht="14.25" customHeight="1" s="71"/>
    <row r="410" ht="14.25" customHeight="1" s="71"/>
    <row r="411" ht="14.25" customHeight="1" s="71"/>
    <row r="412" ht="14.25" customHeight="1" s="71"/>
    <row r="413" ht="14.25" customHeight="1" s="71"/>
    <row r="414" ht="14.25" customHeight="1" s="71"/>
    <row r="415" ht="14.25" customHeight="1" s="71"/>
    <row r="416" ht="14.25" customHeight="1" s="71"/>
    <row r="417" ht="14.25" customHeight="1" s="71"/>
    <row r="418" ht="14.25" customHeight="1" s="71"/>
    <row r="419" ht="14.25" customHeight="1" s="71"/>
    <row r="420" ht="14.25" customHeight="1" s="71"/>
    <row r="421" ht="14.25" customHeight="1" s="71"/>
    <row r="422" ht="14.25" customHeight="1" s="71"/>
    <row r="423" ht="14.25" customHeight="1" s="71"/>
    <row r="424" ht="14.25" customHeight="1" s="71"/>
    <row r="425" ht="14.25" customHeight="1" s="71"/>
    <row r="426" ht="14.25" customHeight="1" s="71"/>
    <row r="427" ht="14.25" customHeight="1" s="71"/>
    <row r="428" ht="14.25" customHeight="1" s="71"/>
    <row r="429" ht="14.25" customHeight="1" s="71"/>
    <row r="430" ht="14.25" customHeight="1" s="71"/>
    <row r="431" ht="14.25" customHeight="1" s="71"/>
    <row r="432" ht="14.25" customHeight="1" s="71"/>
    <row r="433" ht="14.25" customHeight="1" s="71"/>
    <row r="434" ht="14.25" customHeight="1" s="71"/>
    <row r="435" ht="14.25" customHeight="1" s="71"/>
    <row r="436" ht="14.25" customHeight="1" s="71"/>
    <row r="437" ht="14.25" customHeight="1" s="71"/>
    <row r="438" ht="14.25" customHeight="1" s="71"/>
    <row r="439" ht="14.25" customHeight="1" s="71"/>
    <row r="440" ht="14.25" customHeight="1" s="71"/>
    <row r="441" ht="14.25" customHeight="1" s="71"/>
    <row r="442" ht="14.25" customHeight="1" s="71"/>
    <row r="443" ht="14.25" customHeight="1" s="71"/>
    <row r="444" ht="14.25" customHeight="1" s="71"/>
    <row r="445" ht="14.25" customHeight="1" s="71"/>
    <row r="446" ht="14.25" customHeight="1" s="71"/>
    <row r="447" ht="14.25" customHeight="1" s="71"/>
    <row r="448" ht="14.25" customHeight="1" s="71"/>
    <row r="449" ht="14.25" customHeight="1" s="71"/>
    <row r="450" ht="14.25" customHeight="1" s="71"/>
    <row r="451" ht="14.25" customHeight="1" s="71"/>
    <row r="452" ht="14.25" customHeight="1" s="71"/>
    <row r="453" ht="14.25" customHeight="1" s="71"/>
    <row r="454" ht="14.25" customHeight="1" s="71"/>
    <row r="455" ht="14.25" customHeight="1" s="71"/>
    <row r="456" ht="14.25" customHeight="1" s="71"/>
    <row r="457" ht="14.25" customHeight="1" s="71"/>
    <row r="458" ht="14.25" customHeight="1" s="71"/>
    <row r="459" ht="14.25" customHeight="1" s="71"/>
    <row r="460" ht="14.25" customHeight="1" s="71"/>
    <row r="461" ht="14.25" customHeight="1" s="71"/>
    <row r="462" ht="14.25" customHeight="1" s="71"/>
    <row r="463" ht="14.25" customHeight="1" s="71"/>
    <row r="464" ht="14.25" customHeight="1" s="71"/>
    <row r="465" ht="14.25" customHeight="1" s="71"/>
    <row r="466" ht="14.25" customHeight="1" s="71"/>
    <row r="467" ht="14.25" customHeight="1" s="71"/>
    <row r="468" ht="14.25" customHeight="1" s="71"/>
    <row r="469" ht="14.25" customHeight="1" s="71"/>
    <row r="470" ht="14.25" customHeight="1" s="71"/>
    <row r="471" ht="14.25" customHeight="1" s="71"/>
    <row r="472" ht="14.25" customHeight="1" s="71"/>
    <row r="473" ht="14.25" customHeight="1" s="71"/>
    <row r="474" ht="14.25" customHeight="1" s="71"/>
    <row r="475" ht="14.25" customHeight="1" s="71"/>
    <row r="476" ht="14.25" customHeight="1" s="71"/>
    <row r="477" ht="14.25" customHeight="1" s="71"/>
    <row r="478" ht="14.25" customHeight="1" s="71"/>
    <row r="479" ht="14.25" customHeight="1" s="71"/>
    <row r="480" ht="14.25" customHeight="1" s="71"/>
    <row r="481" ht="14.25" customHeight="1" s="71"/>
    <row r="482" ht="14.25" customHeight="1" s="71"/>
    <row r="483" ht="14.25" customHeight="1" s="71"/>
    <row r="484" ht="14.25" customHeight="1" s="71"/>
    <row r="485" ht="14.25" customHeight="1" s="71"/>
    <row r="486" ht="14.25" customHeight="1" s="71"/>
    <row r="487" ht="14.25" customHeight="1" s="71"/>
    <row r="488" ht="14.25" customHeight="1" s="71"/>
    <row r="489" ht="14.25" customHeight="1" s="71"/>
    <row r="490" ht="14.25" customHeight="1" s="71"/>
    <row r="491" ht="14.25" customHeight="1" s="71"/>
    <row r="492" ht="14.25" customHeight="1" s="71"/>
    <row r="493" ht="14.25" customHeight="1" s="71"/>
    <row r="494" ht="14.25" customHeight="1" s="71"/>
    <row r="495" ht="14.25" customHeight="1" s="71"/>
    <row r="496" ht="14.25" customHeight="1" s="71"/>
    <row r="497" ht="14.25" customHeight="1" s="71"/>
    <row r="498" ht="14.25" customHeight="1" s="71"/>
    <row r="499" ht="14.25" customHeight="1" s="71"/>
    <row r="500" ht="14.25" customHeight="1" s="71"/>
    <row r="501" ht="14.25" customHeight="1" s="71"/>
    <row r="502" ht="14.25" customHeight="1" s="71"/>
    <row r="503" ht="14.25" customHeight="1" s="71"/>
    <row r="504" ht="14.25" customHeight="1" s="71"/>
    <row r="505" ht="14.25" customHeight="1" s="71"/>
    <row r="506" ht="14.25" customHeight="1" s="71"/>
    <row r="507" ht="14.25" customHeight="1" s="71"/>
    <row r="508" ht="14.25" customHeight="1" s="71"/>
    <row r="509" ht="14.25" customHeight="1" s="71"/>
    <row r="510" ht="14.25" customHeight="1" s="71"/>
    <row r="511" ht="14.25" customHeight="1" s="71"/>
    <row r="512" ht="14.25" customHeight="1" s="71"/>
    <row r="513" ht="14.25" customHeight="1" s="71"/>
    <row r="514" ht="14.25" customHeight="1" s="71"/>
    <row r="515" ht="14.25" customHeight="1" s="71"/>
    <row r="516" ht="14.25" customHeight="1" s="71"/>
    <row r="517" ht="14.25" customHeight="1" s="71"/>
    <row r="518" ht="14.25" customHeight="1" s="71"/>
    <row r="519" ht="14.25" customHeight="1" s="71"/>
    <row r="520" ht="14.25" customHeight="1" s="71"/>
    <row r="521" ht="14.25" customHeight="1" s="71"/>
    <row r="522" ht="14.25" customHeight="1" s="71"/>
    <row r="523" ht="14.25" customHeight="1" s="71"/>
    <row r="524" ht="14.25" customHeight="1" s="71"/>
    <row r="525" ht="14.25" customHeight="1" s="71"/>
    <row r="526" ht="14.25" customHeight="1" s="71"/>
    <row r="527" ht="14.25" customHeight="1" s="71"/>
    <row r="528" ht="14.25" customHeight="1" s="71"/>
    <row r="529" ht="14.25" customHeight="1" s="71"/>
    <row r="530" ht="14.25" customHeight="1" s="71"/>
    <row r="531" ht="14.25" customHeight="1" s="71"/>
    <row r="532" ht="14.25" customHeight="1" s="71"/>
    <row r="533" ht="14.25" customHeight="1" s="71"/>
    <row r="534" ht="14.25" customHeight="1" s="71"/>
    <row r="535" ht="14.25" customHeight="1" s="71"/>
    <row r="536" ht="14.25" customHeight="1" s="71"/>
    <row r="537" ht="14.25" customHeight="1" s="71"/>
    <row r="538" ht="14.25" customHeight="1" s="71"/>
    <row r="539" ht="14.25" customHeight="1" s="71"/>
    <row r="540" ht="14.25" customHeight="1" s="71"/>
    <row r="541" ht="14.25" customHeight="1" s="71"/>
    <row r="542" ht="14.25" customHeight="1" s="71"/>
    <row r="543" ht="14.25" customHeight="1" s="71"/>
    <row r="544" ht="14.25" customHeight="1" s="71"/>
    <row r="545" ht="14.25" customHeight="1" s="71"/>
    <row r="546" ht="14.25" customHeight="1" s="71"/>
    <row r="547" ht="14.25" customHeight="1" s="71"/>
    <row r="548" ht="14.25" customHeight="1" s="71"/>
    <row r="549" ht="14.25" customHeight="1" s="71"/>
    <row r="550" ht="14.25" customHeight="1" s="71"/>
    <row r="551" ht="14.25" customHeight="1" s="71"/>
    <row r="552" ht="14.25" customHeight="1" s="71"/>
    <row r="553" ht="14.25" customHeight="1" s="71"/>
    <row r="554" ht="14.25" customHeight="1" s="71"/>
    <row r="555" ht="14.25" customHeight="1" s="71"/>
    <row r="556" ht="14.25" customHeight="1" s="71"/>
    <row r="557" ht="14.25" customHeight="1" s="71"/>
    <row r="558" ht="14.25" customHeight="1" s="71"/>
    <row r="559" ht="14.25" customHeight="1" s="71"/>
    <row r="560" ht="14.25" customHeight="1" s="71"/>
    <row r="561" ht="14.25" customHeight="1" s="71"/>
    <row r="562" ht="14.25" customHeight="1" s="71"/>
    <row r="563" ht="14.25" customHeight="1" s="71"/>
    <row r="564" ht="14.25" customHeight="1" s="71"/>
    <row r="565" ht="14.25" customHeight="1" s="71"/>
    <row r="566" ht="14.25" customHeight="1" s="71"/>
    <row r="567" ht="14.25" customHeight="1" s="71"/>
    <row r="568" ht="14.25" customHeight="1" s="71"/>
    <row r="569" ht="14.25" customHeight="1" s="71"/>
    <row r="570" ht="14.25" customHeight="1" s="71"/>
    <row r="571" ht="14.25" customHeight="1" s="71"/>
    <row r="572" ht="14.25" customHeight="1" s="71"/>
    <row r="573" ht="14.25" customHeight="1" s="71"/>
    <row r="574" ht="14.25" customHeight="1" s="71"/>
    <row r="575" ht="14.25" customHeight="1" s="71"/>
    <row r="576" ht="14.25" customHeight="1" s="71"/>
    <row r="577" ht="14.25" customHeight="1" s="71"/>
    <row r="578" ht="14.25" customHeight="1" s="71"/>
    <row r="579" ht="14.25" customHeight="1" s="71"/>
    <row r="580" ht="14.25" customHeight="1" s="71"/>
    <row r="581" ht="14.25" customHeight="1" s="71"/>
    <row r="582" ht="14.25" customHeight="1" s="71"/>
    <row r="583" ht="14.25" customHeight="1" s="71"/>
    <row r="584" ht="14.25" customHeight="1" s="71"/>
    <row r="585" ht="14.25" customHeight="1" s="71"/>
    <row r="586" ht="14.25" customHeight="1" s="71"/>
    <row r="587" ht="14.25" customHeight="1" s="71"/>
    <row r="588" ht="14.25" customHeight="1" s="71"/>
    <row r="589" ht="14.25" customHeight="1" s="71"/>
    <row r="590" ht="14.25" customHeight="1" s="71"/>
    <row r="591" ht="14.25" customHeight="1" s="71"/>
    <row r="592" ht="14.25" customHeight="1" s="71"/>
    <row r="593" ht="14.25" customHeight="1" s="71"/>
    <row r="594" ht="14.25" customHeight="1" s="71"/>
    <row r="595" ht="14.25" customHeight="1" s="71"/>
    <row r="596" ht="14.25" customHeight="1" s="71"/>
    <row r="597" ht="14.25" customHeight="1" s="71"/>
    <row r="598" ht="14.25" customHeight="1" s="71"/>
    <row r="599" ht="14.25" customHeight="1" s="71"/>
    <row r="600" ht="14.25" customHeight="1" s="71"/>
    <row r="601" ht="14.25" customHeight="1" s="71"/>
    <row r="602" ht="14.25" customHeight="1" s="71"/>
    <row r="603" ht="14.25" customHeight="1" s="71"/>
    <row r="604" ht="14.25" customHeight="1" s="71"/>
    <row r="605" ht="14.25" customHeight="1" s="71"/>
    <row r="606" ht="14.25" customHeight="1" s="71"/>
    <row r="607" ht="14.25" customHeight="1" s="71"/>
    <row r="608" ht="14.25" customHeight="1" s="71"/>
    <row r="609" ht="14.25" customHeight="1" s="71"/>
    <row r="610" ht="14.25" customHeight="1" s="71"/>
    <row r="611" ht="14.25" customHeight="1" s="71"/>
    <row r="612" ht="14.25" customHeight="1" s="71"/>
    <row r="613" ht="14.25" customHeight="1" s="71"/>
    <row r="614" ht="14.25" customHeight="1" s="71"/>
    <row r="615" ht="14.25" customHeight="1" s="71"/>
    <row r="616" ht="14.25" customHeight="1" s="71"/>
    <row r="617" ht="14.25" customHeight="1" s="71"/>
    <row r="618" ht="14.25" customHeight="1" s="71"/>
    <row r="619" ht="14.25" customHeight="1" s="71"/>
    <row r="620" ht="14.25" customHeight="1" s="71"/>
    <row r="621" ht="14.25" customHeight="1" s="71"/>
    <row r="622" ht="14.25" customHeight="1" s="71"/>
    <row r="623" ht="14.25" customHeight="1" s="71"/>
    <row r="624" ht="14.25" customHeight="1" s="71"/>
    <row r="625" ht="14.25" customHeight="1" s="71"/>
    <row r="626" ht="14.25" customHeight="1" s="71"/>
    <row r="627" ht="14.25" customHeight="1" s="71"/>
    <row r="628" ht="14.25" customHeight="1" s="71"/>
    <row r="629" ht="14.25" customHeight="1" s="71"/>
    <row r="630" ht="14.25" customHeight="1" s="71"/>
    <row r="631" ht="14.25" customHeight="1" s="71"/>
    <row r="632" ht="14.25" customHeight="1" s="71"/>
    <row r="633" ht="14.25" customHeight="1" s="71"/>
    <row r="634" ht="14.25" customHeight="1" s="71"/>
    <row r="635" ht="14.25" customHeight="1" s="71"/>
    <row r="636" ht="14.25" customHeight="1" s="71"/>
    <row r="637" ht="14.25" customHeight="1" s="71"/>
    <row r="638" ht="14.25" customHeight="1" s="71"/>
    <row r="639" ht="14.25" customHeight="1" s="71"/>
    <row r="640" ht="14.25" customHeight="1" s="71"/>
    <row r="641" ht="14.25" customHeight="1" s="71"/>
    <row r="642" ht="14.25" customHeight="1" s="71"/>
    <row r="643" ht="14.25" customHeight="1" s="71"/>
    <row r="644" ht="14.25" customHeight="1" s="71"/>
    <row r="645" ht="14.25" customHeight="1" s="71"/>
    <row r="646" ht="14.25" customHeight="1" s="71"/>
    <row r="647" ht="14.25" customHeight="1" s="71"/>
    <row r="648" ht="14.25" customHeight="1" s="71"/>
    <row r="649" ht="14.25" customHeight="1" s="71"/>
    <row r="650" ht="14.25" customHeight="1" s="71"/>
    <row r="651" ht="14.25" customHeight="1" s="71"/>
    <row r="652" ht="14.25" customHeight="1" s="71"/>
    <row r="653" ht="14.25" customHeight="1" s="71"/>
    <row r="654" ht="14.25" customHeight="1" s="71"/>
    <row r="655" ht="14.25" customHeight="1" s="71"/>
    <row r="656" ht="14.25" customHeight="1" s="71"/>
    <row r="657" ht="14.25" customHeight="1" s="71"/>
    <row r="658" ht="14.25" customHeight="1" s="71"/>
    <row r="659" ht="14.25" customHeight="1" s="71"/>
    <row r="660" ht="14.25" customHeight="1" s="71"/>
    <row r="661" ht="14.25" customHeight="1" s="71"/>
    <row r="662" ht="14.25" customHeight="1" s="71"/>
    <row r="663" ht="14.25" customHeight="1" s="71"/>
    <row r="664" ht="14.25" customHeight="1" s="71"/>
    <row r="665" ht="14.25" customHeight="1" s="71"/>
    <row r="666" ht="14.25" customHeight="1" s="71"/>
    <row r="667" ht="14.25" customHeight="1" s="71"/>
    <row r="668" ht="14.25" customHeight="1" s="71"/>
    <row r="669" ht="14.25" customHeight="1" s="71"/>
    <row r="670" ht="14.25" customHeight="1" s="71"/>
    <row r="671" ht="14.25" customHeight="1" s="71"/>
    <row r="672" ht="14.25" customHeight="1" s="71"/>
    <row r="673" ht="14.25" customHeight="1" s="71"/>
    <row r="674" ht="14.25" customHeight="1" s="71"/>
    <row r="675" ht="14.25" customHeight="1" s="71"/>
    <row r="676" ht="14.25" customHeight="1" s="71"/>
    <row r="677" ht="14.25" customHeight="1" s="71"/>
    <row r="678" ht="14.25" customHeight="1" s="71"/>
    <row r="679" ht="14.25" customHeight="1" s="71"/>
    <row r="680" ht="14.25" customHeight="1" s="71"/>
    <row r="681" ht="14.25" customHeight="1" s="71"/>
    <row r="682" ht="14.25" customHeight="1" s="71"/>
    <row r="683" ht="14.25" customHeight="1" s="71"/>
    <row r="684" ht="14.25" customHeight="1" s="71"/>
    <row r="685" ht="14.25" customHeight="1" s="71"/>
    <row r="686" ht="14.25" customHeight="1" s="71"/>
    <row r="687" ht="14.25" customHeight="1" s="71"/>
    <row r="688" ht="14.25" customHeight="1" s="71"/>
    <row r="689" ht="14.25" customHeight="1" s="71"/>
    <row r="690" ht="14.25" customHeight="1" s="71"/>
    <row r="691" ht="14.25" customHeight="1" s="71"/>
    <row r="692" ht="14.25" customHeight="1" s="71"/>
    <row r="693" ht="14.25" customHeight="1" s="71"/>
    <row r="694" ht="14.25" customHeight="1" s="71"/>
    <row r="695" ht="14.25" customHeight="1" s="71"/>
    <row r="696" ht="14.25" customHeight="1" s="71"/>
    <row r="697" ht="14.25" customHeight="1" s="71"/>
    <row r="698" ht="14.25" customHeight="1" s="71"/>
    <row r="699" ht="14.25" customHeight="1" s="71"/>
    <row r="700" ht="14.25" customHeight="1" s="71"/>
    <row r="701" ht="14.25" customHeight="1" s="71"/>
    <row r="702" ht="14.25" customHeight="1" s="71"/>
    <row r="703" ht="14.25" customHeight="1" s="71"/>
    <row r="704" ht="14.25" customHeight="1" s="71"/>
    <row r="705" ht="14.25" customHeight="1" s="71"/>
    <row r="706" ht="14.25" customHeight="1" s="71"/>
    <row r="707" ht="14.25" customHeight="1" s="71"/>
    <row r="708" ht="14.25" customHeight="1" s="71"/>
    <row r="709" ht="14.25" customHeight="1" s="71"/>
    <row r="710" ht="14.25" customHeight="1" s="71"/>
    <row r="711" ht="14.25" customHeight="1" s="71"/>
    <row r="712" ht="14.25" customHeight="1" s="71"/>
    <row r="713" ht="14.25" customHeight="1" s="71"/>
    <row r="714" ht="14.25" customHeight="1" s="71"/>
    <row r="715" ht="14.25" customHeight="1" s="71"/>
    <row r="716" ht="14.25" customHeight="1" s="71"/>
    <row r="717" ht="14.25" customHeight="1" s="71"/>
    <row r="718" ht="14.25" customHeight="1" s="71"/>
    <row r="719" ht="14.25" customHeight="1" s="71"/>
    <row r="720" ht="14.25" customHeight="1" s="71"/>
    <row r="721" ht="14.25" customHeight="1" s="71"/>
    <row r="722" ht="14.25" customHeight="1" s="71"/>
    <row r="723" ht="14.25" customHeight="1" s="71"/>
    <row r="724" ht="14.25" customHeight="1" s="71"/>
    <row r="725" ht="14.25" customHeight="1" s="71"/>
    <row r="726" ht="14.25" customHeight="1" s="71"/>
    <row r="727" ht="14.25" customHeight="1" s="71"/>
    <row r="728" ht="14.25" customHeight="1" s="71"/>
    <row r="729" ht="14.25" customHeight="1" s="71"/>
    <row r="730" ht="14.25" customHeight="1" s="71"/>
    <row r="731" ht="14.25" customHeight="1" s="71"/>
    <row r="732" ht="14.25" customHeight="1" s="71"/>
    <row r="733" ht="14.25" customHeight="1" s="71"/>
    <row r="734" ht="14.25" customHeight="1" s="71"/>
    <row r="735" ht="14.25" customHeight="1" s="71"/>
    <row r="736" ht="14.25" customHeight="1" s="71"/>
    <row r="737" ht="14.25" customHeight="1" s="71"/>
    <row r="738" ht="14.25" customHeight="1" s="71"/>
    <row r="739" ht="14.25" customHeight="1" s="71"/>
    <row r="740" ht="14.25" customHeight="1" s="71"/>
    <row r="741" ht="14.25" customHeight="1" s="71"/>
    <row r="742" ht="14.25" customHeight="1" s="71"/>
    <row r="743" ht="14.25" customHeight="1" s="71"/>
    <row r="744" ht="14.25" customHeight="1" s="71"/>
    <row r="745" ht="14.25" customHeight="1" s="71"/>
    <row r="746" ht="14.25" customHeight="1" s="71"/>
    <row r="747" ht="14.25" customHeight="1" s="71"/>
    <row r="748" ht="14.25" customHeight="1" s="71"/>
    <row r="749" ht="14.25" customHeight="1" s="71"/>
    <row r="750" ht="14.25" customHeight="1" s="71"/>
    <row r="751" ht="14.25" customHeight="1" s="71"/>
    <row r="752" ht="14.25" customHeight="1" s="71"/>
    <row r="753" ht="14.25" customHeight="1" s="71"/>
    <row r="754" ht="14.25" customHeight="1" s="71"/>
    <row r="755" ht="14.25" customHeight="1" s="71"/>
    <row r="756" ht="14.25" customHeight="1" s="71"/>
    <row r="757" ht="14.25" customHeight="1" s="71"/>
    <row r="758" ht="14.25" customHeight="1" s="71"/>
    <row r="759" ht="14.25" customHeight="1" s="71"/>
    <row r="760" ht="14.25" customHeight="1" s="71"/>
    <row r="761" ht="14.25" customHeight="1" s="71"/>
    <row r="762" ht="14.25" customHeight="1" s="71"/>
    <row r="763" ht="14.25" customHeight="1" s="71"/>
    <row r="764" ht="14.25" customHeight="1" s="71"/>
    <row r="765" ht="14.25" customHeight="1" s="71"/>
    <row r="766" ht="14.25" customHeight="1" s="71"/>
    <row r="767" ht="14.25" customHeight="1" s="71"/>
    <row r="768" ht="14.25" customHeight="1" s="71"/>
    <row r="769" ht="14.25" customHeight="1" s="71"/>
    <row r="770" ht="14.25" customHeight="1" s="71"/>
    <row r="771" ht="14.25" customHeight="1" s="71"/>
    <row r="772" ht="14.25" customHeight="1" s="71"/>
    <row r="773" ht="14.25" customHeight="1" s="71"/>
    <row r="774" ht="14.25" customHeight="1" s="71"/>
    <row r="775" ht="14.25" customHeight="1" s="71"/>
    <row r="776" ht="14.25" customHeight="1" s="71"/>
    <row r="777" ht="14.25" customHeight="1" s="71"/>
    <row r="778" ht="14.25" customHeight="1" s="71"/>
    <row r="779" ht="14.25" customHeight="1" s="71"/>
    <row r="780" ht="14.25" customHeight="1" s="71"/>
    <row r="781" ht="14.25" customHeight="1" s="71"/>
    <row r="782" ht="14.25" customHeight="1" s="71"/>
    <row r="783" ht="14.25" customHeight="1" s="71"/>
    <row r="784" ht="14.25" customHeight="1" s="71"/>
    <row r="785" ht="14.25" customHeight="1" s="71"/>
    <row r="786" ht="14.25" customHeight="1" s="71"/>
    <row r="787" ht="14.25" customHeight="1" s="71"/>
    <row r="788" ht="14.25" customHeight="1" s="71"/>
    <row r="789" ht="14.25" customHeight="1" s="71"/>
    <row r="790" ht="14.25" customHeight="1" s="71"/>
    <row r="791" ht="14.25" customHeight="1" s="71"/>
    <row r="792" ht="14.25" customHeight="1" s="71"/>
    <row r="793" ht="14.25" customHeight="1" s="71"/>
    <row r="794" ht="14.25" customHeight="1" s="71"/>
    <row r="795" ht="14.25" customHeight="1" s="71"/>
    <row r="796" ht="14.25" customHeight="1" s="71"/>
    <row r="797" ht="14.25" customHeight="1" s="71"/>
    <row r="798" ht="14.25" customHeight="1" s="71"/>
    <row r="799" ht="14.25" customHeight="1" s="71"/>
    <row r="800" ht="14.25" customHeight="1" s="71"/>
    <row r="801" ht="14.25" customHeight="1" s="71"/>
    <row r="802" ht="14.25" customHeight="1" s="71"/>
    <row r="803" ht="14.25" customHeight="1" s="71"/>
    <row r="804" ht="14.25" customHeight="1" s="71"/>
    <row r="805" ht="14.25" customHeight="1" s="71"/>
    <row r="806" ht="14.25" customHeight="1" s="71"/>
    <row r="807" ht="14.25" customHeight="1" s="71"/>
    <row r="808" ht="14.25" customHeight="1" s="71"/>
    <row r="809" ht="14.25" customHeight="1" s="71"/>
    <row r="810" ht="14.25" customHeight="1" s="71"/>
    <row r="811" ht="14.25" customHeight="1" s="71"/>
    <row r="812" ht="14.25" customHeight="1" s="71"/>
    <row r="813" ht="14.25" customHeight="1" s="71"/>
    <row r="814" ht="14.25" customHeight="1" s="71"/>
    <row r="815" ht="14.25" customHeight="1" s="71"/>
    <row r="816" ht="14.25" customHeight="1" s="71"/>
    <row r="817" ht="14.25" customHeight="1" s="71"/>
    <row r="818" ht="14.25" customHeight="1" s="71"/>
    <row r="819" ht="14.25" customHeight="1" s="71"/>
    <row r="820" ht="14.25" customHeight="1" s="71"/>
    <row r="821" ht="14.25" customHeight="1" s="71"/>
    <row r="822" ht="14.25" customHeight="1" s="71"/>
    <row r="823" ht="14.25" customHeight="1" s="71"/>
    <row r="824" ht="14.25" customHeight="1" s="71"/>
    <row r="825" ht="14.25" customHeight="1" s="71"/>
    <row r="826" ht="14.25" customHeight="1" s="71"/>
    <row r="827" ht="14.25" customHeight="1" s="71"/>
    <row r="828" ht="14.25" customHeight="1" s="71"/>
    <row r="829" ht="14.25" customHeight="1" s="71"/>
    <row r="830" ht="14.25" customHeight="1" s="71"/>
    <row r="831" ht="14.25" customHeight="1" s="71"/>
    <row r="832" ht="14.25" customHeight="1" s="71"/>
    <row r="833" ht="14.25" customHeight="1" s="71"/>
    <row r="834" ht="14.25" customHeight="1" s="71"/>
    <row r="835" ht="14.25" customHeight="1" s="71"/>
    <row r="836" ht="14.25" customHeight="1" s="71"/>
    <row r="837" ht="14.25" customHeight="1" s="71"/>
    <row r="838" ht="14.25" customHeight="1" s="71"/>
    <row r="839" ht="14.25" customHeight="1" s="71"/>
    <row r="840" ht="14.25" customHeight="1" s="71"/>
    <row r="841" ht="14.25" customHeight="1" s="71"/>
    <row r="842" ht="14.25" customHeight="1" s="71"/>
    <row r="843" ht="14.25" customHeight="1" s="71"/>
    <row r="844" ht="14.25" customHeight="1" s="71"/>
    <row r="845" ht="14.25" customHeight="1" s="71"/>
    <row r="846" ht="14.25" customHeight="1" s="71"/>
    <row r="847" ht="14.25" customHeight="1" s="71"/>
    <row r="848" ht="14.25" customHeight="1" s="71"/>
    <row r="849" ht="14.25" customHeight="1" s="71"/>
    <row r="850" ht="14.25" customHeight="1" s="71"/>
    <row r="851" ht="14.25" customHeight="1" s="71"/>
    <row r="852" ht="14.25" customHeight="1" s="71"/>
    <row r="853" ht="14.25" customHeight="1" s="71"/>
    <row r="854" ht="14.25" customHeight="1" s="71"/>
    <row r="855" ht="14.25" customHeight="1" s="71"/>
    <row r="856" ht="14.25" customHeight="1" s="71"/>
    <row r="857" ht="14.25" customHeight="1" s="71"/>
    <row r="858" ht="14.25" customHeight="1" s="71"/>
    <row r="859" ht="14.25" customHeight="1" s="71"/>
    <row r="860" ht="14.25" customHeight="1" s="71"/>
    <row r="861" ht="14.25" customHeight="1" s="71"/>
    <row r="862" ht="14.25" customHeight="1" s="71"/>
    <row r="863" ht="14.25" customHeight="1" s="71"/>
    <row r="864" ht="14.25" customHeight="1" s="71"/>
    <row r="865" ht="14.25" customHeight="1" s="71"/>
    <row r="866" ht="14.25" customHeight="1" s="71"/>
    <row r="867" ht="14.25" customHeight="1" s="71"/>
    <row r="868" ht="14.25" customHeight="1" s="71"/>
    <row r="869" ht="14.25" customHeight="1" s="71"/>
    <row r="870" ht="14.25" customHeight="1" s="71"/>
    <row r="871" ht="14.25" customHeight="1" s="71"/>
    <row r="872" ht="14.25" customHeight="1" s="71"/>
    <row r="873" ht="14.25" customHeight="1" s="71"/>
    <row r="874" ht="14.25" customHeight="1" s="71"/>
    <row r="875" ht="14.25" customHeight="1" s="71"/>
    <row r="876" ht="14.25" customHeight="1" s="71"/>
    <row r="877" ht="14.25" customHeight="1" s="71"/>
    <row r="878" ht="14.25" customHeight="1" s="71"/>
    <row r="879" ht="14.25" customHeight="1" s="71"/>
    <row r="880" ht="14.25" customHeight="1" s="71"/>
    <row r="881" ht="14.25" customHeight="1" s="71"/>
    <row r="882" ht="14.25" customHeight="1" s="71"/>
    <row r="883" ht="14.25" customHeight="1" s="71"/>
    <row r="884" ht="14.25" customHeight="1" s="71"/>
    <row r="885" ht="14.25" customHeight="1" s="71"/>
    <row r="886" ht="14.25" customHeight="1" s="71"/>
    <row r="887" ht="14.25" customHeight="1" s="71"/>
    <row r="888" ht="14.25" customHeight="1" s="71"/>
    <row r="889" ht="14.25" customHeight="1" s="71"/>
    <row r="890" ht="14.25" customHeight="1" s="71"/>
    <row r="891" ht="14.25" customHeight="1" s="71"/>
    <row r="892" ht="14.25" customHeight="1" s="71"/>
    <row r="893" ht="14.25" customHeight="1" s="71"/>
    <row r="894" ht="14.25" customHeight="1" s="71"/>
    <row r="895" ht="14.25" customHeight="1" s="71"/>
    <row r="896" ht="14.25" customHeight="1" s="71"/>
    <row r="897" ht="14.25" customHeight="1" s="71"/>
    <row r="898" ht="14.25" customHeight="1" s="71"/>
    <row r="899" ht="14.25" customHeight="1" s="71"/>
    <row r="900" ht="14.25" customHeight="1" s="71"/>
    <row r="901" ht="14.25" customHeight="1" s="71"/>
    <row r="902" ht="14.25" customHeight="1" s="71"/>
    <row r="903" ht="14.25" customHeight="1" s="71"/>
    <row r="904" ht="14.25" customHeight="1" s="71"/>
    <row r="905" ht="14.25" customHeight="1" s="71"/>
    <row r="906" ht="14.25" customHeight="1" s="71"/>
    <row r="907" ht="14.25" customHeight="1" s="71"/>
    <row r="908" ht="14.25" customHeight="1" s="71"/>
    <row r="909" ht="14.25" customHeight="1" s="71"/>
    <row r="910" ht="14.25" customHeight="1" s="71"/>
    <row r="911" ht="14.25" customHeight="1" s="71"/>
    <row r="912" ht="14.25" customHeight="1" s="71"/>
    <row r="913" ht="14.25" customHeight="1" s="71"/>
    <row r="914" ht="14.25" customHeight="1" s="71"/>
    <row r="915" ht="14.25" customHeight="1" s="71"/>
    <row r="916" ht="14.25" customHeight="1" s="71"/>
    <row r="917" ht="14.25" customHeight="1" s="71"/>
    <row r="918" ht="14.25" customHeight="1" s="71"/>
    <row r="919" ht="14.25" customHeight="1" s="71"/>
    <row r="920" ht="14.25" customHeight="1" s="71"/>
    <row r="921" ht="14.25" customHeight="1" s="71"/>
    <row r="922" ht="14.25" customHeight="1" s="71"/>
    <row r="923" ht="14.25" customHeight="1" s="71"/>
    <row r="924" ht="14.25" customHeight="1" s="71"/>
    <row r="925" ht="14.25" customHeight="1" s="71"/>
    <row r="926" ht="14.25" customHeight="1" s="71"/>
    <row r="927" ht="14.25" customHeight="1" s="71"/>
    <row r="928" ht="14.25" customHeight="1" s="71"/>
    <row r="929" ht="14.25" customHeight="1" s="71"/>
    <row r="930" ht="14.25" customHeight="1" s="71"/>
    <row r="931" ht="14.25" customHeight="1" s="71"/>
    <row r="932" ht="14.25" customHeight="1" s="71"/>
    <row r="933" ht="14.25" customHeight="1" s="71"/>
    <row r="934" ht="14.25" customHeight="1" s="71"/>
    <row r="935" ht="14.25" customHeight="1" s="71"/>
    <row r="936" ht="14.25" customHeight="1" s="71"/>
    <row r="937" ht="14.25" customHeight="1" s="71"/>
    <row r="938" ht="14.25" customHeight="1" s="71"/>
    <row r="939" ht="14.25" customHeight="1" s="71"/>
    <row r="940" ht="14.25" customHeight="1" s="71"/>
    <row r="941" ht="14.25" customHeight="1" s="71"/>
    <row r="942" ht="14.25" customHeight="1" s="71"/>
    <row r="943" ht="14.25" customHeight="1" s="71"/>
    <row r="944" ht="14.25" customHeight="1" s="71"/>
    <row r="945" ht="14.25" customHeight="1" s="71"/>
    <row r="946" ht="14.25" customHeight="1" s="71"/>
    <row r="947" ht="14.25" customHeight="1" s="71"/>
    <row r="948" ht="14.25" customHeight="1" s="71"/>
    <row r="949" ht="14.25" customHeight="1" s="71"/>
    <row r="950" ht="14.25" customHeight="1" s="71"/>
    <row r="951" ht="14.25" customHeight="1" s="71"/>
    <row r="952" ht="14.25" customHeight="1" s="71"/>
    <row r="953" ht="14.25" customHeight="1" s="71"/>
    <row r="954" ht="14.25" customHeight="1" s="71"/>
    <row r="955" ht="14.25" customHeight="1" s="71"/>
    <row r="956" ht="14.25" customHeight="1" s="71"/>
    <row r="957" ht="14.25" customHeight="1" s="71"/>
    <row r="958" ht="14.25" customHeight="1" s="71"/>
    <row r="959" ht="14.25" customHeight="1" s="71"/>
    <row r="960" ht="14.25" customHeight="1" s="71"/>
    <row r="961" ht="14.25" customHeight="1" s="71"/>
    <row r="962" ht="14.25" customHeight="1" s="71"/>
    <row r="963" ht="14.25" customHeight="1" s="71"/>
    <row r="964" ht="14.25" customHeight="1" s="71"/>
    <row r="965" ht="14.25" customHeight="1" s="71"/>
    <row r="966" ht="14.25" customHeight="1" s="71"/>
    <row r="967" ht="14.25" customHeight="1" s="71"/>
    <row r="968" ht="14.25" customHeight="1" s="71"/>
    <row r="969" ht="14.25" customHeight="1" s="71"/>
    <row r="970" ht="14.25" customHeight="1" s="71"/>
    <row r="971" ht="14.25" customHeight="1" s="71"/>
    <row r="972" ht="14.25" customHeight="1" s="71"/>
    <row r="973" ht="14.25" customHeight="1" s="71"/>
    <row r="974" ht="14.25" customHeight="1" s="71"/>
    <row r="975" ht="14.25" customHeight="1" s="71"/>
    <row r="976" ht="14.25" customHeight="1" s="71"/>
    <row r="977" ht="14.25" customHeight="1" s="71"/>
    <row r="978" ht="14.25" customHeight="1" s="71"/>
    <row r="979" ht="14.25" customHeight="1" s="71"/>
    <row r="980" ht="14.25" customHeight="1" s="71"/>
    <row r="981" ht="14.25" customHeight="1" s="71"/>
    <row r="982" ht="14.25" customHeight="1" s="71"/>
    <row r="983" ht="14.25" customHeight="1" s="71"/>
    <row r="984" ht="14.25" customHeight="1" s="71"/>
    <row r="985" ht="14.25" customHeight="1" s="71"/>
    <row r="986" ht="14.25" customHeight="1" s="71"/>
    <row r="987" ht="14.25" customHeight="1" s="71"/>
    <row r="988" ht="14.25" customHeight="1" s="71"/>
    <row r="989" ht="14.25" customHeight="1" s="71"/>
    <row r="990" ht="14.25" customHeight="1" s="71"/>
    <row r="991" ht="14.25" customHeight="1" s="71"/>
    <row r="992" ht="14.25" customHeight="1" s="71"/>
    <row r="993" ht="14.25" customHeight="1" s="71"/>
    <row r="994" ht="14.25" customHeight="1" s="71"/>
    <row r="995" ht="14.25" customHeight="1" s="71"/>
    <row r="996" ht="14.25" customHeight="1" s="71"/>
    <row r="997" ht="14.25" customHeight="1" s="71"/>
    <row r="998" ht="14.25" customHeight="1" s="71"/>
    <row r="999" ht="14.25" customHeight="1" s="71"/>
    <row r="1000" ht="14.25" customHeight="1" s="7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8">
    <mergeCell ref="A16:F16"/>
    <mergeCell ref="A92:H92"/>
    <mergeCell ref="A77:H77"/>
    <mergeCell ref="A83:H83"/>
    <mergeCell ref="F67:I67"/>
    <mergeCell ref="A73:H73"/>
    <mergeCell ref="A82:H82"/>
    <mergeCell ref="G11:K11"/>
    <mergeCell ref="A3:C3"/>
    <mergeCell ref="A18:F18"/>
    <mergeCell ref="A94:H94"/>
    <mergeCell ref="A79:H79"/>
    <mergeCell ref="A1:K1"/>
    <mergeCell ref="G8:K8"/>
    <mergeCell ref="A2:C2"/>
    <mergeCell ref="A88:H88"/>
    <mergeCell ref="G17:K17"/>
    <mergeCell ref="A6:K6"/>
    <mergeCell ref="A78:H78"/>
    <mergeCell ref="G7:K7"/>
    <mergeCell ref="A5:C5"/>
    <mergeCell ref="A14:F14"/>
    <mergeCell ref="F64:I64"/>
    <mergeCell ref="D2:K2"/>
    <mergeCell ref="A8:F8"/>
    <mergeCell ref="A90:H90"/>
    <mergeCell ref="A17:F17"/>
    <mergeCell ref="G19:K19"/>
    <mergeCell ref="F68:I68"/>
    <mergeCell ref="F65:I65"/>
    <mergeCell ref="A4:C4"/>
    <mergeCell ref="A80:H80"/>
    <mergeCell ref="A89:H89"/>
    <mergeCell ref="A62:I62"/>
    <mergeCell ref="G18:K18"/>
    <mergeCell ref="A74:H74"/>
    <mergeCell ref="A84:H84"/>
    <mergeCell ref="A7:F7"/>
    <mergeCell ref="A86:H86"/>
    <mergeCell ref="G15:K15"/>
    <mergeCell ref="A19:F19"/>
    <mergeCell ref="A71:H71"/>
    <mergeCell ref="A9:F9"/>
    <mergeCell ref="A85:H85"/>
    <mergeCell ref="G14:K14"/>
    <mergeCell ref="D4:K4"/>
    <mergeCell ref="A15:F15"/>
    <mergeCell ref="D3:K3"/>
    <mergeCell ref="A11:F11"/>
    <mergeCell ref="A91:H91"/>
    <mergeCell ref="A81:H81"/>
    <mergeCell ref="G16:K16"/>
    <mergeCell ref="F66:I66"/>
    <mergeCell ref="A72:H72"/>
    <mergeCell ref="D5:K5"/>
    <mergeCell ref="A13:K13"/>
    <mergeCell ref="A93:H93"/>
    <mergeCell ref="G9:K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2026-06-16T19:56:42Z</dcterms:created>
  <dcterms:modified xsi:type="dcterms:W3CDTF">2026-06-20T19:13:58Z</dcterms:modified>
</cp:coreProperties>
</file>